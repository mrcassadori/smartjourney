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e2bb44189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ções" sheetId="1" r:id="Rf2fba44a23314040"/>
    <x:sheet xmlns:r="http://schemas.openxmlformats.org/officeDocument/2006/relationships" name="01_Roteiro_45min" sheetId="2" r:id="R06a7e6e1a4ef467a"/>
    <x:sheet xmlns:r="http://schemas.openxmlformats.org/officeDocument/2006/relationships" name="02_Jornada_Atual_ASIS" sheetId="3" r:id="R5c6a585675c348d9"/>
    <x:sheet xmlns:r="http://schemas.openxmlformats.org/officeDocument/2006/relationships" name="03_Dores_Evidências" sheetId="4" r:id="R3ca575b99e87403b"/>
    <x:sheet xmlns:r="http://schemas.openxmlformats.org/officeDocument/2006/relationships" name="04_Benchmark_Concorrentes" sheetId="5" r:id="R5b17d38c30e84fd1"/>
    <x:sheet xmlns:r="http://schemas.openxmlformats.org/officeDocument/2006/relationships" name="05_Priorização_MVP" sheetId="6" r:id="Rba5884d98fb54ae8"/>
    <x:sheet xmlns:r="http://schemas.openxmlformats.org/officeDocument/2006/relationships" name="06_Dicionário_Dropdowns" sheetId="7" r:id="Ra2085f1376a143ae"/>
    <x:sheet xmlns:r="http://schemas.openxmlformats.org/officeDocument/2006/relationships" name="07_Síntese_Nathalia" sheetId="8" r:id="R6328f65f637a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3"/>
      <x:name val="Carlito"/>
    </x:font>
    <x:font>
      <x:sz val="11"/>
      <x:color rgb="FF243B53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102A43"/>
      </x:patternFill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5" fillId="6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left"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500675e384f98" /><Relationship Type="http://schemas.openxmlformats.org/officeDocument/2006/relationships/theme" Target="/xl/theme/theme1.xml" Id="R4cf77eb4539d4f3a" /><Relationship Type="http://schemas.openxmlformats.org/officeDocument/2006/relationships/sharedStrings" Target="/xl/sharedStrings.xml" Id="Rae59101e77034891" /><Relationship Type="http://schemas.openxmlformats.org/officeDocument/2006/relationships/worksheet" Target="/xl/worksheets/sheet1.xml" Id="Rf2fba44a23314040" /><Relationship Type="http://schemas.openxmlformats.org/officeDocument/2006/relationships/worksheet" Target="/xl/worksheets/sheet2.xml" Id="R06a7e6e1a4ef467a" /><Relationship Type="http://schemas.openxmlformats.org/officeDocument/2006/relationships/worksheet" Target="/xl/worksheets/sheet3.xml" Id="R5c6a585675c348d9" /><Relationship Type="http://schemas.openxmlformats.org/officeDocument/2006/relationships/worksheet" Target="/xl/worksheets/sheet4.xml" Id="R3ca575b99e87403b" /><Relationship Type="http://schemas.openxmlformats.org/officeDocument/2006/relationships/worksheet" Target="/xl/worksheets/sheet5.xml" Id="R5b17d38c30e84fd1" /><Relationship Type="http://schemas.openxmlformats.org/officeDocument/2006/relationships/worksheet" Target="/xl/worksheets/sheet6.xml" Id="Rba5884d98fb54ae8" /><Relationship Type="http://schemas.openxmlformats.org/officeDocument/2006/relationships/worksheet" Target="/xl/worksheets/sheet7.xml" Id="Ra2085f1376a143ae" /><Relationship Type="http://schemas.openxmlformats.org/officeDocument/2006/relationships/worksheet" Target="/xl/worksheets/sheet8.xml" Id="R6328f65f637a4573" /></Relationships>
</file>

<file path=xl/tables/table1.xml><?xml version="1.0" encoding="utf-8"?>
<x:table xmlns:x="http://schemas.openxmlformats.org/spreadsheetml/2006/main" id="1" name="RoteiroTable" displayName="RoteiroTable" ref="A3:I10" headerRowCount="1">
  <x:tableColumns count="9">
    <x:tableColumn id="1" name="Bloco"/>
    <x:tableColumn id="2" name="Tempo"/>
    <x:tableColumn id="3" name="Objetivo"/>
    <x:tableColumn id="4" name="Perguntas principais"/>
    <x:tableColumn id="5" name="Perguntas de aprofundamento"/>
    <x:tableColumn id="6" name="Evidência buscada"/>
    <x:tableColumn id="7" name="Anotações"/>
    <x:tableColumn id="8" name="Sinal de oportunidade"/>
    <x:tableColumn id="9" name="Decisão para síntese"/>
  </x:tableColumns>
  <x:tableStyleInfo name="TableStyleMedium2" showRowStripes="1"/>
</x:table>
</file>

<file path=xl/tables/table2.xml><?xml version="1.0" encoding="utf-8"?>
<x:table xmlns:x="http://schemas.openxmlformats.org/spreadsheetml/2006/main" id="2" name="JornadaASISTable" displayName="JornadaASISTable" ref="A3:R18" headerRowCount="1">
  <x:tableColumns count="18">
    <x:tableColumn id="1" name="ID etapa"/>
    <x:tableColumn id="2" name="Macro etapa"/>
    <x:tableColumn id="3" name="Ordem"/>
    <x:tableColumn id="4" name="Gatilho / situação"/>
    <x:tableColumn id="5" name="Objetivo da usuária"/>
    <x:tableColumn id="6" name="Ação realizada"/>
    <x:tableColumn id="7" name="Canal / plataforma"/>
    <x:tableColumn id="8" name="Artefato usado"/>
    <x:tableColumn id="9" name="Pessoa / área envolvida"/>
    <x:tableColumn id="10" name="Informação necessária"/>
    <x:tableColumn id="11" name="Decisão tomada"/>
    <x:tableColumn id="12" name="Dor / fricção"/>
    <x:tableColumn id="13" name="Emoção"/>
    <x:tableColumn id="14" name="Nível de confiança"/>
    <x:tableColumn id="15" name="Tempo / esforço percebido"/>
    <x:tableColumn id="16" name="Risco operacional"/>
    <x:tableColumn id="17" name="Evidência / frase"/>
    <x:tableColumn id="18" name="Oportunidade para MVP"/>
  </x:tableColumns>
  <x:tableStyleInfo name="TableStyleMedium2" showRowStripes="1"/>
</x:table>
</file>

<file path=xl/tables/table3.xml><?xml version="1.0" encoding="utf-8"?>
<x:table xmlns:x="http://schemas.openxmlformats.org/spreadsheetml/2006/main" id="3" name="DoresTable" displayName="DoresTable" ref="A3:Q23" headerRowCount="1">
  <x:tableColumns count="17">
    <x:tableColumn id="1" name="ID dor"/>
    <x:tableColumn id="2" name="ID etapa relacionada"/>
    <x:tableColumn id="3" name="Dor / necessidade"/>
    <x:tableColumn id="4" name="Descrição do problema"/>
    <x:tableColumn id="5" name="Tipo de dor"/>
    <x:tableColumn id="6" name="Frequência"/>
    <x:tableColumn id="7" name="Severidade"/>
    <x:tableColumn id="8" name="Impacto no negócio"/>
    <x:tableColumn id="9" name="Impacto no cliente"/>
    <x:tableColumn id="10" name="Impacto operacional"/>
    <x:tableColumn id="11" name="Risco"/>
    <x:tableColumn id="12" name="Evidência / frase"/>
    <x:tableColumn id="13" name="Origem da evidência"/>
    <x:tableColumn id="14" name="Hipótese de oportunidade"/>
    <x:tableColumn id="15" name="Jornada candidata"/>
    <x:tableColumn id="16" name="Prioridade sugerida"/>
    <x:tableColumn id="17" name="Observações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Table" displayName="BenchmarkTable" ref="A3:S18" headerRowCount="1">
  <x:tableColumns count="19">
    <x:tableColumn id="1" name="ID"/>
    <x:tableColumn id="2" name="Plataforma / concorrente"/>
    <x:tableColumn id="3" name="Fluxo demonstrado"/>
    <x:tableColumn id="4" name="Tarefa observada"/>
    <x:tableColumn id="5" name="O que funciona bem"/>
    <x:tableColumn id="6" name="O que funciona mal"/>
    <x:tableColumn id="7" name="Padrão de UX identificado"/>
    <x:tableColumn id="8" name="Informação bem apresentada"/>
    <x:tableColumn id="9" name="Informação ausente/confusa"/>
    <x:tableColumn id="10" name="Quantidade de passos"/>
    <x:tableColumn id="11" name="Facilidade percebida"/>
    <x:tableColumn id="12" name="Confiança nos dados"/>
    <x:tableColumn id="13" name="Velocidade"/>
    <x:tableColumn id="14" name="Recursos úteis"/>
    <x:tableColumn id="15" name="O que copiar"/>
    <x:tableColumn id="16" name="O que evitar"/>
    <x:tableColumn id="17" name="Print / referência"/>
    <x:tableColumn id="18" name="Jornada relacionada"/>
    <x:tableColumn id="19" name="Observações"/>
  </x:tableColumns>
  <x:tableStyleInfo name="TableStyleMedium2" showRowStripes="1"/>
</x:table>
</file>

<file path=xl/tables/table5.xml><?xml version="1.0" encoding="utf-8"?>
<x:table xmlns:x="http://schemas.openxmlformats.org/spreadsheetml/2006/main" id="5" name="PriorizacaoTable" displayName="PriorizacaoTable" ref="A3:O11" headerRowCount="1">
  <x:tableColumns count="15">
    <x:tableColumn id="1" name="Jornada candidata"/>
    <x:tableColumn id="2" name="Dor principal"/>
    <x:tableColumn id="3" name="Evidências fortes"/>
    <x:tableColumn id="4" name="Frequência (1-5)"/>
    <x:tableColumn id="5" name="Impacto usuário (1-5)"/>
    <x:tableColumn id="6" name="Impacto negócio (1-5)"/>
    <x:tableColumn id="7" name="Redução esforço (1-5)"/>
    <x:tableColumn id="8" name="Confiança evidência (1-5)"/>
    <x:tableColumn id="9" name="Risco se não resolver (1-5)"/>
    <x:tableColumn id="10" name="Esforço implementação (1-5)"/>
    <x:tableColumn id="11" name="Dependência técnica (1-5)"/>
    <x:tableColumn id="12" name="Score valor"/>
    <x:tableColumn id="13" name="Score esforço/risco"/>
    <x:tableColumn id="14" name="Score final"/>
    <x:tableColumn id="15" name="Recomend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a3ee7a388e47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0a0c778d5e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54d3a22cf3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5c448054cd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54353f9b9c483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8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62" t="str">
        <x:v>Template de síntese — Entrevista Portal do Consultor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65" t="str">
        <x:v>Objetivo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21" t="str">
        <x:v>Usar este arquivo para registrar a entrevista com Nathalia Bunzen / Åpen Capital, estruturar a jornada atual de uso de plataformas, capturar dores, evidências, comparações com concorrentes e priorizar a jornada candidata ao MVP do Portal do Consultor.</x:v>
      </x:c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/>
      <x:c r="B7" s="63"/>
      <x:c r="C7" s="63"/>
      <x:c r="D7" s="63"/>
      <x:c r="E7" s="63"/>
      <x:c r="F7" s="63"/>
      <x:c r="G7" s="63"/>
      <x:c r="H7" s="63"/>
      <x:c r="I7" s="63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5" t="str">
        <x:v>Como usar</x:v>
      </x:c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6" t="str">
        <x:v>1</x:v>
      </x:c>
      <x:c r="B9" s="67" t="str">
        <x:v>Durante a entrevista</x:v>
      </x:c>
      <x:c r="C9" s="67" t="str">
        <x:v>Use a aba 01_Roteiro_45min como guia de tempo e perguntas. Marque evidências fortes com palavras exatas da entrevistada.</x:v>
      </x:c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8" t="str">
        <x:v>2</x:v>
      </x:c>
      <x:c r="B10" s="69" t="str">
        <x:v>Logo após a entrevista</x:v>
      </x:c>
      <x:c r="C10" s="63" t="str">
        <x:v>Preencha 02_Jornada_Atual_ASIS com o passo a passo real observado/relatado, sem propor solução ainda.</x:v>
      </x:c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8" t="str">
        <x:v>3</x:v>
      </x:c>
      <x:c r="B11" s="69" t="str">
        <x:v>Sintetize dores</x:v>
      </x:c>
      <x:c r="C11" s="63" t="str">
        <x:v>Registre em 03_Dores_Evidências cada dor com frequência, severidade, impacto e evidência/frase.</x:v>
      </x:c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8" t="str">
        <x:v>4</x:v>
      </x:c>
      <x:c r="B12" s="69" t="str">
        <x:v>Compare concorrentes</x:v>
      </x:c>
      <x:c r="C12" s="63" t="str">
        <x:v>Use 04_Benchmark_Concorrentes para registrar plataformas mostradas, pontos positivos, negativos e o que copiar/evitar.</x:v>
      </x:c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8" t="str">
        <x:v>5</x:v>
      </x:c>
      <x:c r="B13" s="69" t="str">
        <x:v>Priorize o MVP</x:v>
      </x:c>
      <x:c r="C13" s="63" t="str">
        <x:v>Use 05_Priorização_MVP para pontuar jornadas por valor, esforço, risco e evidência. A fórmula ajuda a gerar um ranking inicial.</x:v>
      </x:c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5" t="str">
        <x:v>Critério de qualidade da síntese</x:v>
      </x:c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9" t="str">
        <x:v>Não inferir sem evidência</x:v>
      </x:c>
      <x:c r="B17" s="63" t="str">
        <x:v>Separar o que foi dito, observado e interpretado.</x:v>
      </x:c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9" t="str">
        <x:v>Focar comportamento passado</x:v>
      </x:c>
      <x:c r="B18" s="63" t="str">
        <x:v>Perguntar sobre casos recentes e plataformas realmente usadas.</x:v>
      </x:c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9" t="str">
        <x:v>Mapear emoção e confiança</x:v>
      </x:c>
      <x:c r="B19" s="63" t="str">
        <x:v>Registrar momentos de insegurança, retrabalho, frustração, alívio ou clareza.</x:v>
      </x:c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9" t="str">
        <x:v>Conectar jornada ao MVP</x:v>
      </x:c>
      <x:c r="B20" s="63" t="str">
        <x:v>Toda dor deve indicar impacto, frequência e se bloqueia adoção do portal.</x:v>
      </x:c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38" t="str">
        <x:v>Referências do briefing</x:v>
      </x:c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9" t="str">
        <x:v>Proposta analisada</x:v>
      </x:c>
      <x:c r="B24" s="63" t="str">
        <x:v>Proposta_MVP_Definition_Experience_Sprint_Portal_Consultor (2).docx</x:v>
      </x:c>
      <x:c r="C24" s="63" t="str"/>
      <x:c r="D24" s="63" t="str"/>
      <x:c r="E24" s="63" t="str"/>
      <x:c r="F24" s="63" t="str"/>
      <x:c r="G24" s="63" t="str"/>
      <x:c r="H24" s="63" t="str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9" t="str">
        <x:v>Site Åpen Capital</x:v>
      </x:c>
      <x:c r="B25" s="63" t="str">
        <x:v>https://apencapital.com.br/</x:v>
      </x:c>
      <x:c r="C25" s="63" t="str"/>
      <x:c r="D25" s="63" t="str"/>
      <x:c r="E25" s="63" t="str"/>
      <x:c r="F25" s="63" t="str"/>
      <x:c r="G25" s="63" t="str"/>
      <x:c r="H25" s="63" t="str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9" t="str">
        <x:v>LinkedIn Nathalia/Natalia Bunzen</x:v>
      </x:c>
      <x:c r="B26" s="63" t="str">
        <x:v>https://www.linkedin.com/in/nataliabunzen/</x:v>
      </x:c>
      <x:c r="C26" s="63" t="str"/>
      <x:c r="D26" s="63" t="str"/>
      <x:c r="E26" s="63" t="str"/>
      <x:c r="F26" s="63" t="str"/>
      <x:c r="G26" s="63" t="str"/>
      <x:c r="H26" s="63" t="str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H1"/>
    <x:mergeCell ref="A3:H3"/>
    <x:mergeCell ref="A4:H6"/>
    <x:mergeCell ref="A8:H8"/>
    <x:mergeCell ref="A16:H16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2" hidden="0" customWidth="1"/>
    <x:col min="5" max="5" width="42" hidden="0" customWidth="1"/>
    <x:col min="6" max="6" width="36" hidden="0" customWidth="1"/>
    <x:col min="7" max="7" width="36" hidden="0" customWidth="1"/>
    <x:col min="8" max="8" width="32" hidden="0" customWidth="1"/>
    <x:col min="9" max="9" width="32" hidden="0" customWidth="1"/>
  </x:cols>
  <x:sheetData>
    <x:row r="1">
      <x:c r="A1" s="62" t="str">
        <x:v>Roteiro de entrevista — 45 minutos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79" t="str">
        <x:v>Bloco</x:v>
      </x:c>
      <x:c r="B3" s="79" t="str">
        <x:v>Tempo</x:v>
      </x:c>
      <x:c r="C3" s="79" t="str">
        <x:v>Objetivo</x:v>
      </x:c>
      <x:c r="D3" s="79" t="str">
        <x:v>Perguntas principais</x:v>
      </x:c>
      <x:c r="E3" s="79" t="str">
        <x:v>Perguntas de aprofundamento</x:v>
      </x:c>
      <x:c r="F3" s="79" t="str">
        <x:v>Evidência buscada</x:v>
      </x:c>
      <x:c r="G3" s="79" t="str">
        <x:v>Anotações</x:v>
      </x:c>
      <x:c r="H3" s="79" t="str">
        <x:v>Sinal de oportunidade</x:v>
      </x:c>
      <x:c r="I3" s="79" t="str">
        <x:v>Decisão para síntese</x:v>
      </x:c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63" t="str">
        <x:v>Abertura</x:v>
      </x:c>
      <x:c r="B4" s="63" t="str">
        <x:v>0–3 min</x:v>
      </x:c>
      <x:c r="C4" s="63" t="str">
        <x:v>Alinhar contexto, gravação e dinâmica da entrevista.</x:v>
      </x:c>
      <x:c r="D4" s="63" t="str">
        <x:v>Podemos gravar? Você pode ocultar dados sensíveis ao compartilhar tela?</x:v>
      </x:c>
      <x:c r="E4" s="63" t="str">
        <x:v>Explique que não estamos avaliando a pessoa, mas a jornada e as plataformas.</x:v>
      </x:c>
      <x:c r="F4" s="63" t="str">
        <x:v>Consentimento, contexto e abertura para screen share.</x:v>
      </x:c>
      <x:c r="G4" s="63" t="str"/>
      <x:c r="H4" s="63" t="str"/>
      <x:c r="I4" s="63" t="str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Perfil e operação</x:v>
      </x:c>
      <x:c r="B5" s="63" t="str">
        <x:v>3–8 min</x:v>
      </x:c>
      <x:c r="C5" s="63" t="str">
        <x:v>Entender papel, rotina, estrutura da consultoria e plataformas usadas.</x:v>
      </x:c>
      <x:c r="D5" s="63" t="str">
        <x:v>Qual é seu papel na Åpen? Quais atividades passam por você? Quais plataformas vocês usam hoje?</x:v>
      </x:c>
      <x:c r="E5" s="63" t="str">
        <x:v>Quem mais participa? O que depende de você? O que trava quando escala?</x:v>
      </x:c>
      <x:c r="F5" s="63" t="str">
        <x:v>Papéis, sistemas, responsabilidades, volume e dependências.</x:v>
      </x:c>
      <x:c r="G5" s="63" t="str"/>
      <x:c r="H5" s="63" t="str"/>
      <x:c r="I5" s="63" t="str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Jornada atual</x:v>
      </x:c>
      <x:c r="B6" s="63" t="str">
        <x:v>8–18 min</x:v>
      </x:c>
      <x:c r="C6" s="63" t="str">
        <x:v>Mapear o passo a passo real da jornada atual.</x:v>
      </x:c>
      <x:c r="D6" s="63" t="str">
        <x:v>Me conte uma jornada recente, do gatilho inicial até a conclusão da operação.</x:v>
      </x:c>
      <x:c r="E6" s="63" t="str">
        <x:v>Onde consulta posição? Como recomenda? Como executa? O que acontece fora da plataforma?</x:v>
      </x:c>
      <x:c r="F6" s="63" t="str">
        <x:v>Etapas, canais, artefatos, pessoas, decisões, tarefas manuais.</x:v>
      </x:c>
      <x:c r="G6" s="63" t="str"/>
      <x:c r="H6" s="63" t="str"/>
      <x:c r="I6" s="63" t="str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Dores e impacto</x:v>
      </x:c>
      <x:c r="B7" s="63" t="str">
        <x:v>18–26 min</x:v>
      </x:c>
      <x:c r="C7" s="63" t="str">
        <x:v>Identificar fricções, riscos, retrabalho e necessidades.</x:v>
      </x:c>
      <x:c r="D7" s="63" t="str">
        <x:v>Quais são as três maiores dores hoje? Qual mais impacta produtividade? Qual afeta o cliente final?</x:v>
      </x:c>
      <x:c r="E7" s="63" t="str">
        <x:v>Acontece todo dia? Quanto tempo perde? Bloqueia ou incomoda? Há risco operacional?</x:v>
      </x:c>
      <x:c r="F7" s="63" t="str">
        <x:v>Frequência, severidade, impacto, risco, frase forte.</x:v>
      </x:c>
      <x:c r="G7" s="63" t="str"/>
      <x:c r="H7" s="63" t="str"/>
      <x:c r="I7" s="63" t="str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Demonstração concorrentes</x:v>
      </x:c>
      <x:c r="B8" s="63" t="str">
        <x:v>26–38 min</x:v>
      </x:c>
      <x:c r="C8" s="63" t="str">
        <x:v>Observar boas e más referências de plataformas concorrentes.</x:v>
      </x:c>
      <x:c r="D8" s="63" t="str">
        <x:v>Pode mostrar como acessa carteira, evolução patrimonial, recomendação, status ou relatórios?</x:v>
      </x:c>
      <x:c r="E8" s="63" t="str">
        <x:v>O que faz bem? O que faz mal? O que copiaria? O que evitaria?</x:v>
      </x:c>
      <x:c r="F8" s="63" t="str">
        <x:v>Padrões de UX, fluxos de valor, lacunas e expectativas de mercado.</x:v>
      </x:c>
      <x:c r="G8" s="63" t="str"/>
      <x:c r="H8" s="63" t="str"/>
      <x:c r="I8" s="63" t="str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Priorização</x:v>
      </x:c>
      <x:c r="B9" s="63" t="str">
        <x:v>38–43 min</x:v>
      </x:c>
      <x:c r="C9" s="63" t="str">
        <x:v>Definir sinais para jornada candidata ao MVP.</x:v>
      </x:c>
      <x:c r="D9" s="63" t="str">
        <x:v>Se o Portal só pudesse resolver uma jornada primeiro, qual deveria ser?</x:v>
      </x:c>
      <x:c r="E9" s="63" t="str">
        <x:v>Qual reduz mais esforço? Qual melhora confiança? Qual é obrigatória para adoção?</x:v>
      </x:c>
      <x:c r="F9" s="63" t="str">
        <x:v>Ranking de jornadas e critérios de valor percebido.</x:v>
      </x:c>
      <x:c r="G9" s="63" t="str"/>
      <x:c r="H9" s="63" t="str"/>
      <x:c r="I9" s="63" t="str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Fechamento</x:v>
      </x:c>
      <x:c r="B10" s="63" t="str">
        <x:v>43–45 min</x:v>
      </x:c>
      <x:c r="C10" s="63" t="str">
        <x:v>Abrir espaço para lacunas e próximos passos.</x:v>
      </x:c>
      <x:c r="D10" s="63" t="str">
        <x:v>Tem algo importante que não perguntei? Podemos voltar para validar protótipo?</x:v>
      </x:c>
      <x:c r="E10" s="63" t="str">
        <x:v>Peça materiais/referências e permissão para novo contato.</x:v>
      </x:c>
      <x:c r="F10" s="63" t="str">
        <x:v>Lacunas, documentos, disponibilidade para validação.</x:v>
      </x:c>
      <x:c r="G10" s="63" t="str"/>
      <x:c r="H10" s="63" t="str"/>
      <x:c r="I10" s="63" t="str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ea3ee7a388e47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28" hidden="0" customWidth="1"/>
    <x:col min="5" max="5" width="28" hidden="0" customWidth="1"/>
    <x:col min="6" max="6" width="36" hidden="0" customWidth="1"/>
    <x:col min="7" max="7" width="24" hidden="0" customWidth="1"/>
    <x:col min="8" max="8" width="24" hidden="0" customWidth="1"/>
    <x:col min="9" max="9" width="24" hidden="0" customWidth="1"/>
    <x:col min="10" max="10" width="32" hidden="0" customWidth="1"/>
    <x:col min="11" max="11" width="28" hidden="0" customWidth="1"/>
    <x:col min="12" max="12" width="36" hidden="0" customWidth="1"/>
    <x:col min="13" max="13" width="18" hidden="0" customWidth="1"/>
    <x:col min="14" max="14" width="18" hidden="0" customWidth="1"/>
    <x:col min="15" max="15" width="22" hidden="0" customWidth="1"/>
    <x:col min="16" max="16" width="28" hidden="0" customWidth="1"/>
    <x:col min="17" max="17" width="42" hidden="0" customWidth="1"/>
    <x:col min="18" max="18" width="42" hidden="0" customWidth="1"/>
  </x:cols>
  <x:sheetData>
    <x:row r="1">
      <x:c r="A1" s="97" t="str">
        <x:v>Jornada atual AS-IS — Portal do Consultor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92" t="str">
        <x:v>ID etapa</x:v>
      </x:c>
      <x:c r="B3" s="92" t="str">
        <x:v>Macro etapa</x:v>
      </x:c>
      <x:c r="C3" s="92" t="str">
        <x:v>Ordem</x:v>
      </x:c>
      <x:c r="D3" s="92" t="str">
        <x:v>Gatilho / situação</x:v>
      </x:c>
      <x:c r="E3" s="92" t="str">
        <x:v>Objetivo da usuária</x:v>
      </x:c>
      <x:c r="F3" s="92" t="str">
        <x:v>Ação realizada</x:v>
      </x:c>
      <x:c r="G3" s="92" t="str">
        <x:v>Canal / plataforma</x:v>
      </x:c>
      <x:c r="H3" s="92" t="str">
        <x:v>Artefato usado</x:v>
      </x:c>
      <x:c r="I3" s="92" t="str">
        <x:v>Pessoa / área envolvida</x:v>
      </x:c>
      <x:c r="J3" s="92" t="str">
        <x:v>Informação necessária</x:v>
      </x:c>
      <x:c r="K3" s="92" t="str">
        <x:v>Decisão tomada</x:v>
      </x:c>
      <x:c r="L3" s="92" t="str">
        <x:v>Dor / fricção</x:v>
      </x:c>
      <x:c r="M3" s="92" t="str">
        <x:v>Emoção</x:v>
      </x:c>
      <x:c r="N3" s="92" t="str">
        <x:v>Nível de confiança</x:v>
      </x:c>
      <x:c r="O3" s="92" t="str">
        <x:v>Tempo / esforço percebido</x:v>
      </x:c>
      <x:c r="P3" s="92" t="str">
        <x:v>Risco operacional</x:v>
      </x:c>
      <x:c r="Q3" s="92" t="str">
        <x:v>Evidência / frase</x:v>
      </x:c>
      <x:c r="R3" s="92" t="str">
        <x:v>Oportunidade para MVP</x:v>
      </x:c>
      <x:c r="S3" s="92"/>
      <x:c r="T3" s="63"/>
      <x:c r="U3" s="63"/>
      <x:c r="V3" s="63"/>
      <x:c r="W3" s="63"/>
      <x:c r="X3" s="63"/>
      <x:c r="Y3" s="63"/>
      <x:c r="Z3" s="63"/>
    </x:row>
    <x:row r="4">
      <x:c r="A4" s="63" t="str">
        <x:v>E01</x:v>
      </x:c>
      <x:c r="B4" s="63" t="str">
        <x:v>Entrada e ativação da consultoria/cliente</x:v>
      </x:c>
      <x:c r="C4" s="63" t="n">
        <x:v>1</x:v>
      </x:c>
      <x:c r="D4" s="63" t="str">
        <x:v>Novo cliente ou migração de conta para a base Åpen</x:v>
      </x:c>
      <x:c r="E4" s="63" t="str">
        <x:v>Vincular o cliente à comunidade/consultoria e liberar a conta para operação</x:v>
      </x:c>
      <x:c r="F4" s="63" t="str">
        <x:v>Pega o número da conta, puxa o cliente para a comunidade e aguarda aceite no app</x:v>
      </x:c>
      <x:c r="G4" s="63" t="str">
        <x:v>Portal do Consultor Inter + app do cliente</x:v>
      </x:c>
      <x:c r="H4" s="63" t="str">
        <x:v>Convite/aceite no app; número da conta</x:v>
      </x:c>
      <x:c r="I4" s="63" t="str">
        <x:v>Daily Banker; cliente; consultor; Inter</x:v>
      </x:c>
      <x:c r="J4" s="63" t="str">
        <x:v>Número da conta; CPF; status de aceite; segmento</x:v>
      </x:c>
      <x:c r="K4" s="63" t="str">
        <x:v>Liberar conta para alocação e demais áreas</x:v>
      </x:c>
      <x:c r="L4" s="63" t="str">
        <x:v>Busca limitada pelo número da conta; cliente se confunde com valor zero/aceites</x:v>
      </x:c>
      <x:c r="M4" s="63" t="str">
        <x:v>Atenção / leve insegurança</x:v>
      </x:c>
      <x:c r="N4" s="63" t="str">
        <x:v>Média</x:v>
      </x:c>
      <x:c r="O4" s="63" t="str">
        <x:v>&lt; 1 min quando tem número da conta; mais tempo quando precisa buscar informação</x:v>
      </x:c>
      <x:c r="P4" s="63" t="str">
        <x:v>Atraso no início da operação; dúvidas do cliente</x:v>
      </x:c>
      <x:c r="Q4" s="63" t="str">
        <x:v>“Só consigo achar ele pelo número da conta”; “as pessoas ficam receosas… tem que pagar? aí vê que é zero reais”</x:v>
      </x:c>
      <x:c r="R4" s="63" t="str">
        <x:v>Buscar por nome/CPF; melhorar copy da jornada de aceite; exibir status de onboarding em massa</x:v>
      </x:c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E02</x:v>
      </x:c>
      <x:c r="B5" s="63" t="str">
        <x:v>Entrada e ativação da consultoria/cliente</x:v>
      </x:c>
      <x:c r="C5" s="63" t="n">
        <x:v>2</x:v>
      </x:c>
      <x:c r="D5" s="63" t="str">
        <x:v>Cliente recém-migrado ou aguardando segmentação</x:v>
      </x:c>
      <x:c r="E5" s="63" t="str">
        <x:v>Confirmar se o cliente já virou segmento/comunidade correta</x:v>
      </x:c>
      <x:c r="F5" s="63" t="str">
        <x:v>Entra cliente a cliente ou pergunta para o time/cliente se já virou</x:v>
      </x:c>
      <x:c r="G5" s="63" t="str">
        <x:v>Portal do Consultor Inter; WhatsApp interno</x:v>
      </x:c>
      <x:c r="H5" s="63" t="str">
        <x:v>Lista de clientes; páginas do portal</x:v>
      </x:c>
      <x:c r="I5" s="63" t="str">
        <x:v>Daily Banker; Thais/Inter; cliente</x:v>
      </x:c>
      <x:c r="J5" s="63" t="str">
        <x:v>Status de segmentação; data/horário do processamento</x:v>
      </x:c>
      <x:c r="K5" s="63" t="str">
        <x:v>Começar ou aguardar a operação</x:v>
      </x:c>
      <x:c r="L5" s="63" t="str">
        <x:v>Sem visão em massa de novos clientes/status; fluxo semanal pode falhar</x:v>
      </x:c>
      <x:c r="M5" s="63" t="str">
        <x:v>Ansiedade operacional</x:v>
      </x:c>
      <x:c r="N5" s="63" t="str">
        <x:v>Baixa a média</x:v>
      </x:c>
      <x:c r="O5" s="63" t="str">
        <x:v>Consulta manual, página por página</x:v>
      </x:c>
      <x:c r="P5" s="63" t="str">
        <x:v>Retrabalho e dependência de suporte</x:v>
      </x:c>
      <x:c r="Q5" s="63" t="str">
        <x:v>“Toda vez eu tenho que ficar perturbando Thais para saber se ele já virou ruim ou não”</x:v>
      </x:c>
      <x:c r="R5" s="63" t="str">
        <x:v>Lista de clientes recém-vinculados com status, segmento, pendências e data do último processamento</x:v>
      </x:c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E03</x:v>
      </x:c>
      <x:c r="B6" s="63" t="str">
        <x:v>Consulta de caixa e saldo disponível</x:v>
      </x:c>
      <x:c r="C6" s="63" t="n">
        <x:v>3</x:v>
      </x:c>
      <x:c r="D6" s="63" t="str">
        <x:v>Cliente envia dinheiro, recebe salário, vencimento, dividendo ou resgate</x:v>
      </x:c>
      <x:c r="E6" s="63" t="str">
        <x:v>Identificar se existe caixa para aplicar e se a origem do dinheiro permite recomendação</x:v>
      </x:c>
      <x:c r="F6" s="63" t="str">
        <x:v>Consulta saldo na conta do cliente e tenta inferir se é dinheiro de investimento ou banking</x:v>
      </x:c>
      <x:c r="G6" s="63" t="str">
        <x:v>Portal Inter; extrato; APIs internas</x:v>
      </x:c>
      <x:c r="H6" s="63" t="str">
        <x:v>Saldo em conta; extrato; histórico de transações</x:v>
      </x:c>
      <x:c r="I6" s="63" t="str">
        <x:v>Daily Banker; alocação; cliente</x:v>
      </x:c>
      <x:c r="J6" s="63" t="str">
        <x:v>Origem do crédito; tipo de evento; saldo disponível para investimento</x:v>
      </x:c>
      <x:c r="K6" s="63" t="str">
        <x:v>Aplicar, perguntar ao cliente ou aguardar</x:v>
      </x:c>
      <x:c r="L6" s="63" t="str">
        <x:v>Conta única mistura banking e investimento; não fica claro se saldo é para aplicar</x:v>
      </x:c>
      <x:c r="M6" s="63" t="str">
        <x:v>Incerteza</x:v>
      </x:c>
      <x:c r="N6" s="63" t="str">
        <x:v>Baixa</x:v>
      </x:c>
      <x:c r="O6" s="63" t="str">
        <x:v>3–5 min em média, mas pode gerar contato com cliente</x:v>
      </x:c>
      <x:c r="P6" s="63" t="str">
        <x:v>Aplicar indevidamente ou deixar dinheiro parado</x:v>
      </x:c>
      <x:c r="Q6" s="63" t="str">
        <x:v>“Não sei o que é que eu posso aplicar”; “se foi salário ou uma coisa que eu tenho que reaplicar”</x:v>
      </x:c>
      <x:c r="R6" s="63" t="str">
        <x:v>Rotular créditos por origem: vencimento, dividendo, resgate, transferência, salário; visão de caixa investível</x:v>
      </x:c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E04</x:v>
      </x:c>
      <x:c r="B7" s="63" t="str">
        <x:v>Consolidação de carteira e dados</x:v>
      </x:c>
      <x:c r="C7" s="63" t="n">
        <x:v>4</x:v>
      </x:c>
      <x:c r="D7" s="63" t="str">
        <x:v>Rotina diária de consolidação e atualização da base Åpen</x:v>
      </x:c>
      <x:c r="E7" s="63" t="str">
        <x:v>Alimentar consolidador, carteira e visão interna da consultoria</x:v>
      </x:c>
      <x:c r="F7" s="63" t="str">
        <x:v>Cruza CPF e contas em sistema próprio; usa APIs dos bancos e Com Dinheiro</x:v>
      </x:c>
      <x:c r="G7" s="63" t="str">
        <x:v>APIs de bancos; sistema Åpen; Com Dinheiro</x:v>
      </x:c>
      <x:c r="H7" s="63" t="str">
        <x:v>Base de clientes; acrônimos; CPF; posições; caixa diário</x:v>
      </x:c>
      <x:c r="I7" s="63" t="str">
        <x:v>Consolidação; Daily Banker; alocação</x:v>
      </x:c>
      <x:c r="J7" s="63" t="str">
        <x:v>CPF, e-mail, data de nascimento, conta, posição, saldo, movimentações</x:v>
      </x:c>
      <x:c r="K7" s="63" t="str">
        <x:v>Consolidar carteira e orientar alocação/financeiro</x:v>
      </x:c>
      <x:c r="L7" s="63" t="str">
        <x:v>Dados cadastrais e operacionais insuficientes no portal/API</x:v>
      </x:c>
      <x:c r="M7" s="63" t="str">
        <x:v>Dependência técnica</x:v>
      </x:c>
      <x:c r="N7" s="63" t="str">
        <x:v>Média</x:v>
      </x:c>
      <x:c r="O7" s="63" t="str">
        <x:v>Rotina diária; depende de qualidade das APIs</x:v>
      </x:c>
      <x:c r="P7" s="63" t="str">
        <x:v>Consolidação incompleta; menor proatividade com cliente</x:v>
      </x:c>
      <x:c r="Q7" s="63" t="str">
        <x:v>“Quanto mais dados o pessoal de consolidação tiver, melhor”; “não tem e-mail, não tem data de nascimento”</x:v>
      </x:c>
      <x:c r="R7" s="63" t="str">
        <x:v>Expandir API/dados disponíveis para consultoria; campo de identificação e cadastro completo</x:v>
      </x:c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E05</x:v>
      </x:c>
      <x:c r="B8" s="63" t="str">
        <x:v>Consulta de carteira e posição</x:v>
      </x:c>
      <x:c r="C8" s="63" t="n">
        <x:v>5</x:v>
      </x:c>
      <x:c r="D8" s="63" t="str">
        <x:v>Cliente pede extrato, resgate ou análise de posição</x:v>
      </x:c>
      <x:c r="E8" s="63" t="str">
        <x:v>Entender posição, vencimentos, taxas, preço a mercado e rentabilidade</x:v>
      </x:c>
      <x:c r="F8" s="63" t="str">
        <x:v>Acessa carteira/posição e baixa extrato</x:v>
      </x:c>
      <x:c r="G8" s="63" t="str">
        <x:v>Portal Inter; extrato de posições</x:v>
      </x:c>
      <x:c r="H8" s="63" t="str">
        <x:v>Extrato de posições; carteira</x:v>
      </x:c>
      <x:c r="I8" s="63" t="str">
        <x:v>Daily Banker; alocação; consultor</x:v>
      </x:c>
      <x:c r="J8" s="63" t="str">
        <x:v>Data de aplicação, vencimento, taxa, preço a mercado, valor atual</x:v>
      </x:c>
      <x:c r="K8" s="63" t="str">
        <x:v>Manter, resgatar ou explicar performance</x:v>
      </x:c>
      <x:c r="L8" s="63" t="str">
        <x:v>Falta data de aplicação no extrato/posição</x:v>
      </x:c>
      <x:c r="M8" s="63" t="str">
        <x:v>Frustração leve</x:v>
      </x:c>
      <x:c r="N8" s="63" t="str">
        <x:v>Média</x:v>
      </x:c>
      <x:c r="O8" s="63" t="str">
        <x:v>Rápido, mas exige consulta paralela em alguns casos</x:v>
      </x:c>
      <x:c r="P8" s="63" t="str">
        <x:v>Cálculo/explicação incompleta de rendimento</x:v>
      </x:c>
      <x:c r="Q8" s="63" t="str">
        <x:v>“Eu tenho o vencimento… só falta uma linha aqui, que seria a data que aplicou”</x:v>
      </x:c>
      <x:c r="R8" s="63" t="str">
        <x:v>Incluir data de aplicação/compra na posição e no extrato; permitir exportação</x:v>
      </x:c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E06</x:v>
      </x:c>
      <x:c r="B9" s="63" t="str">
        <x:v>Recomendação e aplicação de produtos</x:v>
      </x:c>
      <x:c r="C9" s="63" t="n">
        <x:v>6</x:v>
      </x:c>
      <x:c r="D9" s="63" t="str">
        <x:v>Necessidade de rebalancear asset allocation ou aplicar novo dinheiro</x:v>
      </x:c>
      <x:c r="E9" s="63" t="str">
        <x:v>Escolher produto adequado à classe de ativo necessária</x:v>
      </x:c>
      <x:c r="F9" s="63" t="str">
        <x:v>Filtra renda fixa/fundos, seleciona produto e envia recomendação para aprovação</x:v>
      </x:c>
      <x:c r="G9" s="63" t="str">
        <x:v>Portal Inter; listas internas de fundos; grupo WhatsApp</x:v>
      </x:c>
      <x:c r="H9" s="63" t="str">
        <x:v>Filtro de produtos; lista recomendada; push de investimento</x:v>
      </x:c>
      <x:c r="I9" s="63" t="str">
        <x:v>Alocação; cliente; Daily Banker</x:v>
      </x:c>
      <x:c r="J9" s="63" t="str">
        <x:v>Classe de ativo; indexador; FGC; taxa; liquidez; mínimo; carência</x:v>
      </x:c>
      <x:c r="K9" s="63" t="str">
        <x:v>Enviar aplicação/recomendação para aprovação</x:v>
      </x:c>
      <x:c r="L9" s="63" t="str">
        <x:v>Fluxo de aplicação é bom, mas falta recomendação em lote por ativo para vários clientes</x:v>
      </x:c>
      <x:c r="M9" s="63" t="str">
        <x:v>Confiança moderada</x:v>
      </x:c>
      <x:c r="N9" s="63" t="str">
        <x:v>Média</x:v>
      </x:c>
      <x:c r="O9" s="63" t="str">
        <x:v>3–5 min; mais tempo na análise do ativo</x:v>
      </x:c>
      <x:c r="P9" s="63" t="str">
        <x:v>Baixa eficiência quando mesmo produto serve para vários clientes</x:v>
      </x:c>
      <x:c r="Q9" s="63" t="str">
        <x:v>“A primeira movimentação… fica como se fosse um carrinho”; “facilita quando é vários na mesma tela”</x:v>
      </x:c>
      <x:c r="R9" s="63" t="str">
        <x:v>Manter carrinho por cliente e criar opção de recomendar um ativo para múltiplos clientes</x:v>
      </x:c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E07</x:v>
      </x:c>
      <x:c r="B10" s="63" t="str">
        <x:v>Aprovação e execução da recomendação</x:v>
      </x:c>
      <x:c r="C10" s="63" t="n">
        <x:v>7</x:v>
      </x:c>
      <x:c r="D10" s="63" t="str">
        <x:v>Cliente recebe push de aplicação/resgate</x:v>
      </x:c>
      <x:c r="E10" s="63" t="str">
        <x:v>Fazer cliente aprovar operação no app</x:v>
      </x:c>
      <x:c r="F10" s="63" t="str">
        <x:v>Cliente aprova no aplicativo; consultoria acompanha retorno</x:v>
      </x:c>
      <x:c r="G10" s="63" t="str">
        <x:v>App cliente; Portal; WhatsApp</x:v>
      </x:c>
      <x:c r="H10" s="63" t="str">
        <x:v>Push de aprovação; status da ordem</x:v>
      </x:c>
      <x:c r="I10" s="63" t="str">
        <x:v>Cliente; alocação; Inter</x:v>
      </x:c>
      <x:c r="J10" s="63" t="str">
        <x:v>Status da aprovação; motivo de erro; versão do app</x:v>
      </x:c>
      <x:c r="K10" s="63" t="str">
        <x:v>Concluir operação ou abrir chamado</x:v>
      </x:c>
      <x:c r="L10" s="63" t="str">
        <x:v>Erros ocasionais de aprovação; ausência de visibilidade da versão do app/status técnico</x:v>
      </x:c>
      <x:c r="M10" s="63" t="str">
        <x:v>Irritação pontual</x:v>
      </x:c>
      <x:c r="N10" s="63" t="str">
        <x:v>Média</x:v>
      </x:c>
      <x:c r="O10" s="63" t="str">
        <x:v>Pode exigir chamado quando dá erro</x:v>
      </x:c>
      <x:c r="P10" s="63" t="str">
        <x:v>Operação não executada no prazo</x:v>
      </x:c>
      <x:c r="Q10" s="63" t="str">
        <x:v>“Toda vez que ele tentava aplicar, dava algum erro”; “versão do app desatualizado… tem muito impacto”</x:v>
      </x:c>
      <x:c r="R10" s="63" t="str">
        <x:v>Exibir status da ordem, motivo de erro e versão do app do cliente; ação orientada para resolução</x:v>
      </x:c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 t="str">
        <x:v>E08</x:v>
      </x:c>
      <x:c r="B11" s="63" t="str">
        <x:v>Suporte e resolução de problemas</x:v>
      </x:c>
      <x:c r="C11" s="63" t="n">
        <x:v>8</x:v>
      </x:c>
      <x:c r="D11" s="63" t="str">
        <x:v>Erro de sistema, dúvida operacional ou pendência com cliente</x:v>
      </x:c>
      <x:c r="E11" s="63" t="str">
        <x:v>Resolver problema sem depender de contatos paralelos</x:v>
      </x:c>
      <x:c r="F11" s="63" t="str">
        <x:v>Aciona Thais/time Inter por WhatsApp ou chamado fora do portal</x:v>
      </x:c>
      <x:c r="G11" s="63" t="str">
        <x:v>WhatsApp; atendimento Inter; chamado</x:v>
      </x:c>
      <x:c r="H11" s="63" t="str">
        <x:v>Prints, mensagens, status do cliente</x:v>
      </x:c>
      <x:c r="I11" s="63" t="str">
        <x:v>Daily Banker; Thais/Inter; atendimento</x:v>
      </x:c>
      <x:c r="J11" s="63" t="str">
        <x:v>Motivo do erro, área responsável, SLA, histórico do chamado</x:v>
      </x:c>
      <x:c r="K11" s="63" t="str">
        <x:v>Abrir chamado, aguardar ou orientar cliente</x:v>
      </x:c>
      <x:c r="L11" s="63" t="str">
        <x:v>Não há canal de suporte contextual dentro do portal</x:v>
      </x:c>
      <x:c r="M11" s="63" t="str">
        <x:v>Dependência</x:v>
      </x:c>
      <x:c r="N11" s="63" t="str">
        <x:v>Média</x:v>
      </x:c>
      <x:c r="O11" s="63" t="str">
        <x:v>Variável; depende do retorno do suporte</x:v>
      </x:c>
      <x:c r="P11" s="63" t="str">
        <x:v>Atraso e perda de rastreabilidade</x:v>
      </x:c>
      <x:c r="Q11" s="63" t="str">
        <x:v>“Normalmente a gente pede socorro aí a Thais”; “no Inter… WhatsApp”</x:v>
      </x:c>
      <x:c r="R11" s="63" t="str">
        <x:v>Chat/suporte por tema dentro do portal, com histórico e contexto do cliente/operação</x:v>
      </x:c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 t="str">
        <x:v>E09</x:v>
      </x:c>
      <x:c r="B12" s="63" t="str">
        <x:v>Gestão de credenciais e segurança</x:v>
      </x:c>
      <x:c r="C12" s="63" t="n">
        <x:v>9</x:v>
      </x:c>
      <x:c r="D12" s="63" t="str">
        <x:v>Cliente esquece senha, token, foi roubado ou precisa bloquear conta</x:v>
      </x:c>
      <x:c r="E12" s="63" t="str">
        <x:v>Dar suporte rápido e seguro sem depender do banco</x:v>
      </x:c>
      <x:c r="F12" s="63" t="str">
        <x:v>Solicita reset/bloqueio ao suporte do Inter</x:v>
      </x:c>
      <x:c r="G12" s="63" t="str">
        <x:v>WhatsApp/suporte; portal concorrente como referência</x:v>
      </x:c>
      <x:c r="H12" s="63" t="str">
        <x:v>Credenciais; token; bloqueio de usuário/conta</x:v>
      </x:c>
      <x:c r="I12" s="63" t="str">
        <x:v>Daily Banker; cliente; suporte Inter</x:v>
      </x:c>
      <x:c r="J12" s="63" t="str">
        <x:v>CPF/conta; status de usuário; risco de segurança</x:v>
      </x:c>
      <x:c r="K12" s="63" t="str">
        <x:v>Resetar senha/token, bloquear usuário/conta</x:v>
      </x:c>
      <x:c r="L12" s="63" t="str">
        <x:v>Sem autonomia no Portal Inter para ações básicas de credenciais e bloqueio</x:v>
      </x:c>
      <x:c r="M12" s="63" t="str">
        <x:v>Urgência / vulnerabilidade</x:v>
      </x:c>
      <x:c r="N12" s="63" t="str">
        <x:v>Baixa</x:v>
      </x:c>
      <x:c r="O12" s="63" t="str">
        <x:v>Pode ser rápido com suporte, mas não é autônomo</x:v>
      </x:c>
      <x:c r="P12" s="63" t="str">
        <x:v>Risco de fraude, demora em incidente</x:v>
      </x:c>
      <x:c r="Q12" s="63" t="str">
        <x:v>“Quanto mais autonomia… zerar senha, bloquear uma conta… facilita o dia a dia”</x:v>
      </x:c>
      <x:c r="R12" s="63" t="str">
        <x:v>Ações controladas: enviar reset de senha/token, bloquear usuário/conta, com aceite/validação do cliente</x:v>
      </x:c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 t="str">
        <x:v>E10</x:v>
      </x:c>
      <x:c r="B13" s="63" t="str">
        <x:v>Documentos fiscais e cadastrais</x:v>
      </x:c>
      <x:c r="C13" s="63" t="n">
        <x:v>10</x:v>
      </x:c>
      <x:c r="D13" s="63" t="str">
        <x:v>Cliente pede informe de rendimento ou época de IR</x:v>
      </x:c>
      <x:c r="E13" s="63" t="str">
        <x:v>Obter documentos sem acionar suporte</x:v>
      </x:c>
      <x:c r="F13" s="63" t="str">
        <x:v>Solicita/baixa quando disponível em outras plataformas; no Inter não consegue pelo portal</x:v>
      </x:c>
      <x:c r="G13" s="63" t="str">
        <x:v>Portal concorrente; suporte Inter</x:v>
      </x:c>
      <x:c r="H13" s="63" t="str">
        <x:v>Informes por ano; cadastro</x:v>
      </x:c>
      <x:c r="I13" s="63" t="str">
        <x:v>Daily Banker; cliente; suporte</x:v>
      </x:c>
      <x:c r="J13" s="63" t="str">
        <x:v>CPF; ano; tipo de informe; previdência/investimentos</x:v>
      </x:c>
      <x:c r="K13" s="63" t="str">
        <x:v>Enviar documento ao cliente</x:v>
      </x:c>
      <x:c r="L13" s="63" t="str">
        <x:v>Informes e alguns dados cadastrais não disponíveis no Portal Inter</x:v>
      </x:c>
      <x:c r="M13" s="63" t="str">
        <x:v>Baixa autonomia</x:v>
      </x:c>
      <x:c r="N13" s="63" t="str">
        <x:v>Média</x:v>
      </x:c>
      <x:c r="O13" s="63" t="str">
        <x:v>Alta recorrência em época de IR</x:v>
      </x:c>
      <x:c r="P13" s="63" t="str">
        <x:v>Aumento de chamados e esforço operacional</x:v>
      </x:c>
      <x:c r="Q13" s="63" t="str">
        <x:v>“Informe de rendimento… a gente também não consegue ver por aqui”; “consigo baixar todos os informes dela”</x:v>
      </x:c>
      <x:c r="R13" s="63" t="str">
        <x:v>Central de documentos: informes por ano, previdência, investimentos e histórico cadastral</x:v>
      </x:c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 t="str">
        <x:v>E11</x:v>
      </x:c>
      <x:c r="B14" s="63" t="str">
        <x:v>Serviços bancários e cartão</x:v>
      </x:c>
      <x:c r="C14" s="63" t="n">
        <x:v>11</x:v>
      </x:c>
      <x:c r="D14" s="63" t="str">
        <x:v>Cliente pede limite, cartão, fatura, segunda via, contestação ou viagem</x:v>
      </x:c>
      <x:c r="E14" s="63" t="str">
        <x:v>Apoiar cliente no uso bancário sem ver dados sensíveis desnecessários</x:v>
      </x:c>
      <x:c r="F14" s="63" t="str">
        <x:v>Consulta/aciona suporte; em concorrentes vê limite/fatura e faz algumas ações</x:v>
      </x:c>
      <x:c r="G14" s="63" t="str">
        <x:v>Portal Inter; BTG/XP como referência; suporte</x:v>
      </x:c>
      <x:c r="H14" s="63" t="str">
        <x:v>Cartão, limite, fatura, limites transacionais</x:v>
      </x:c>
      <x:c r="I14" s="63" t="str">
        <x:v>Daily Banker; cliente; suporte</x:v>
      </x:c>
      <x:c r="J14" s="63" t="str">
        <x:v>Limite, vencimento, status de cartão, elegibilidade, contestação</x:v>
      </x:c>
      <x:c r="K14" s="63" t="str">
        <x:v>Orientar, pedir aumento, bloquear ou emitir cartão</x:v>
      </x:c>
      <x:c r="L14" s="63" t="str">
        <x:v>No Inter a consultoria não tem visão/ação sobre cartão e limites pelo portal</x:v>
      </x:c>
      <x:c r="M14" s="63" t="str">
        <x:v>Dependência</x:v>
      </x:c>
      <x:c r="N14" s="63" t="str">
        <x:v>Média</x:v>
      </x:c>
      <x:c r="O14" s="63" t="str">
        <x:v>Recorrente no atendimento diário</x:v>
      </x:c>
      <x:c r="P14" s="63" t="str">
        <x:v>Cliente precisa acionar canal separado; baixa eficiência</x:v>
      </x:c>
      <x:c r="Q14" s="63" t="str">
        <x:v>“Limite do cartão… a gente também não consegue”; “conseguir emitir um cartão ou cartão adicional facilita”</x:v>
      </x:c>
      <x:c r="R14" s="63" t="str">
        <x:v>Módulo de banking/cartão com permissões: limite, fatura resumida, bloqueio, cartão adicional, segunda via</x:v>
      </x:c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 t="str">
        <x:v>E12</x:v>
      </x:c>
      <x:c r="B15" s="63" t="str">
        <x:v>Internacional/offshore</x:v>
      </x:c>
      <x:c r="C15" s="63" t="n">
        <x:v>12</x:v>
      </x:c>
      <x:c r="D15" s="63" t="str">
        <x:v>Cliente possui conta internacional ou precisa câmbio/aplicação offshore</x:v>
      </x:c>
      <x:c r="E15" s="63" t="str">
        <x:v>Operar carteira internacional com a mesma fluidez da nacional</x:v>
      </x:c>
      <x:c r="F15" s="63" t="str">
        <x:v>Hoje no Inter consegue olhar, mas não enviar push; em XP/Avenue consegue câmbio e ordens</x:v>
      </x:c>
      <x:c r="G15" s="63" t="str">
        <x:v>Portal Inter; XP Internacional; Avenue</x:v>
      </x:c>
      <x:c r="H15" s="63" t="str">
        <x:v>Conta internacional; câmbio; ativos offshore</x:v>
      </x:c>
      <x:c r="I15" s="63" t="str">
        <x:v>Daily Banker; alocação; cliente</x:v>
      </x:c>
      <x:c r="J15" s="63" t="str">
        <x:v>Saldo BRL/USD, spread, ativo, ordem, aprovação</x:v>
      </x:c>
      <x:c r="K15" s="63" t="str">
        <x:v>Enviar câmbio/aplicação internacional</x:v>
      </x:c>
      <x:c r="L15" s="63" t="str">
        <x:v>Inter não permite push/ordem internacional no portal consultor</x:v>
      </x:c>
      <x:c r="M15" s="63" t="str">
        <x:v>Limitação de uso</x:v>
      </x:c>
      <x:c r="N15" s="63" t="str">
        <x:v>Média</x:v>
      </x:c>
      <x:c r="O15" s="63" t="str">
        <x:v>Recorrente para clientes com offshore</x:v>
      </x:c>
      <x:c r="P15" s="63" t="str">
        <x:v>Menor adoção do Inter para clientes internacionais</x:v>
      </x:c>
      <x:c r="Q15" s="63" t="str">
        <x:v>“A gente só consegue olhar… não consegue mandar push na parte Internacional”</x:v>
      </x:c>
      <x:c r="R15" s="63" t="str">
        <x:v>Permitir câmbio, ordem e aprovação internacional; dashboard de custódia e saldo offshore</x:v>
      </x:c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 t="str">
        <x:v>E13</x:v>
      </x:c>
      <x:c r="B16" s="63" t="str">
        <x:v>Conta PJ / holdings</x:v>
      </x:c>
      <x:c r="C16" s="63" t="n">
        <x:v>13</x:v>
      </x:c>
      <x:c r="D16" s="63" t="str">
        <x:v>Clientes criam holdings ou empresas e querem investir/operar pela PJ</x:v>
      </x:c>
      <x:c r="E16" s="63" t="str">
        <x:v>Acompanhar e operar investimentos de PJ vinculada à consultoria</x:v>
      </x:c>
      <x:c r="F16" s="63" t="str">
        <x:v>No Inter é manual por e-mail; BTG/XP permitem PJ no portal</x:v>
      </x:c>
      <x:c r="G16" s="63" t="str">
        <x:v>E-mail; Portal PJ concorrente; suporte Inter</x:v>
      </x:c>
      <x:c r="H16" s="63" t="str">
        <x:v>Conta PJ; investimentos; banking empresarial</x:v>
      </x:c>
      <x:c r="I16" s="63" t="str">
        <x:v>Consultoria; cliente PJ; Inter; financeiro</x:v>
      </x:c>
      <x:c r="J16" s="63" t="str">
        <x:v>Conta PJ, usuários, permissões, investimentos, saldo, documentos</x:v>
      </x:c>
      <x:c r="K16" s="63" t="str">
        <x:v>Investir, acompanhar ou oferecer serviços PJ</x:v>
      </x:c>
      <x:c r="L16" s="63" t="str">
        <x:v>Inter não permite vincular/operar PJ pelo portal; trabalho manual</x:v>
      </x:c>
      <x:c r="M16" s="63" t="str">
        <x:v>Frustração / perda de oportunidade</x:v>
      </x:c>
      <x:c r="N16" s="63" t="str">
        <x:v>Baixa</x:v>
      </x:c>
      <x:c r="O16" s="63" t="str">
        <x:v>Alta demanda crescente por holdings</x:v>
      </x:c>
      <x:c r="P16" s="63" t="str">
        <x:v>Perda de custódia/serviços para concorrentes</x:v>
      </x:c>
      <x:c r="Q16" s="63" t="str">
        <x:v>“Tem muita demanda… todo mundo resolveu criar uma holding”; “hoje… é um trabalho manual”</x:v>
      </x:c>
      <x:c r="R16" s="63" t="str">
        <x:v>MVP ou fase 2 para PJ: vínculo, posição, investimentos, usuários/permissões e serviços básicos</x:v>
      </x:c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 t="str">
        <x:v>E14</x:v>
      </x:c>
      <x:c r="B17" s="63" t="str">
        <x:v>Visão gerencial e relatórios</x:v>
      </x:c>
      <x:c r="C17" s="63" t="n">
        <x:v>14</x:v>
      </x:c>
      <x:c r="D17" s="63" t="str">
        <x:v>Gestão da consultoria precisa acompanhar base, custódia e oportunidades</x:v>
      </x:c>
      <x:c r="E17" s="63" t="str">
        <x:v>Saber patrimônio total, saldo parado, captação e clientes prioritários</x:v>
      </x:c>
      <x:c r="F17" s="63" t="str">
        <x:v>No Inter vê lista, mas não big number; Avenue mostra AUC, captação, top clientes com saldo</x:v>
      </x:c>
      <x:c r="G17" s="63" t="str">
        <x:v>Portal Inter; Avenue; relatórios internos</x:v>
      </x:c>
      <x:c r="H17" s="63" t="str">
        <x:v>Dashboard; big numbers; ranking de saldo</x:v>
      </x:c>
      <x:c r="I17" s="63" t="str">
        <x:v>Sócios; Daily Banker; alocação; financeiro</x:v>
      </x:c>
      <x:c r="J17" s="63" t="str">
        <x:v>AUC/custódia, saldo disponível, captação, top clientes, evolução</x:v>
      </x:c>
      <x:c r="K17" s="63" t="str">
        <x:v>Priorizar ação comercial e operacional</x:v>
      </x:c>
      <x:c r="L17" s="63" t="str">
        <x:v>Falta painel gerencial consolidado do Portal Inter</x:v>
      </x:c>
      <x:c r="M17" s="63" t="str">
        <x:v>Perda de visão executiva</x:v>
      </x:c>
      <x:c r="N17" s="63" t="str">
        <x:v>Média</x:v>
      </x:c>
      <x:c r="O17" s="63" t="str">
        <x:v>Consulta recorrente para gestão</x:v>
      </x:c>
      <x:c r="P17" s="63" t="str">
        <x:v>Menor proatividade e menor percepção de valor da plataforma</x:v>
      </x:c>
      <x:c r="Q17" s="63" t="str">
        <x:v>“Não sei o valor exato que eu tenho consolidado aqui com vocês”; “top 5 clientes com saldo disponível”</x:v>
      </x:c>
      <x:c r="R17" s="63" t="str">
        <x:v>Dashboard da consultoria: AUC, captação, saldo parado, top clientes, produtos, alertas e insights</x:v>
      </x:c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 t="str">
        <x:v>E15</x:v>
      </x:c>
      <x:c r="B18" s="63" t="str">
        <x:v>Cobrança, cashback e backoffice</x:v>
      </x:c>
      <x:c r="C18" s="63" t="n">
        <x:v>15</x:v>
      </x:c>
      <x:c r="D18" s="63" t="str">
        <x:v>Fechamento mensal, cobrança ou apuração de devolução/cashback</x:v>
      </x:c>
      <x:c r="E18" s="63" t="str">
        <x:v>Apurar valores e alimentar cobrança/relacionamento com cliente</x:v>
      </x:c>
      <x:c r="F18" s="63" t="str">
        <x:v>Financeiro pega bases no fechamento; XP mostra cashback no extrato/API</x:v>
      </x:c>
      <x:c r="G18" s="63" t="str">
        <x:v>Base mensal; extrato; API; financeiro</x:v>
      </x:c>
      <x:c r="H18" s="63" t="str">
        <x:v>Extrato detalhado; cashback; taxa de distribuição</x:v>
      </x:c>
      <x:c r="I18" s="63" t="str">
        <x:v>Financeiro; Daily Banker; cliente</x:v>
      </x:c>
      <x:c r="J18" s="63" t="str">
        <x:v>Valores por produto, cashback, débitos, mensalidade, base de cobrança</x:v>
      </x:c>
      <x:c r="K18" s="63" t="str">
        <x:v>Cobrar, devolver, explicar ou registrar</x:v>
      </x:c>
      <x:c r="L18" s="63" t="str">
        <x:v>Inter não apresentou visão equivalente detalhada no portal; dependência de bases externas</x:v>
      </x:c>
      <x:c r="M18" s="63" t="str">
        <x:v>Operacional</x:v>
      </x:c>
      <x:c r="N18" s="63" t="str">
        <x:v>Média</x:v>
      </x:c>
      <x:c r="O18" s="63" t="str">
        <x:v>Mensal e sob demanda</x:v>
      </x:c>
      <x:c r="P18" s="63" t="str">
        <x:v>Erro de apuração ou baixa transparência</x:v>
      </x:c>
      <x:c r="Q18" s="63" t="str">
        <x:v>“O financeiro fecha… pega as bases do fechamento do mês”; “consigo fazer uma base de apuração pela API”</x:v>
      </x:c>
      <x:c r="R18" s="63" t="str">
        <x:v>Extrato/API com eventos financeiros, cashback, taxas, débitos e base para cobrança</x:v>
      </x:c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R1"/>
  </x:mergeCells>
  <x:dataValidations count="4">
    <x:dataValidation type="list" sqref="B4:B100">
      <x:formula1>'06_Dicionário_Dropdowns'!$A$4:$A$13</x:formula1>
    </x:dataValidation>
    <x:dataValidation type="list" sqref="M4:M100">
      <x:formula1>'06_Dicionário_Dropdowns'!$C$4:$C$12</x:formula1>
    </x:dataValidation>
    <x:dataValidation type="list" sqref="N4:N100">
      <x:formula1>'06_Dicionário_Dropdowns'!$E$4:$E$7</x:formula1>
    </x:dataValidation>
    <x:dataValidation type="list" sqref="P4:P100">
      <x:formula1>'06_Dicionário_Dropdowns'!$E$4:$E$7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0a0c778d5e44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42" hidden="0" customWidth="1"/>
    <x:col min="5" max="5" width="18" hidden="0" customWidth="1"/>
    <x:col min="6" max="6" width="14" hidden="0" customWidth="1"/>
    <x:col min="7" max="7" width="14" hidden="0" customWidth="1"/>
    <x:col min="8" max="8" width="30" hidden="0" customWidth="1"/>
    <x:col min="9" max="9" width="30" hidden="0" customWidth="1"/>
    <x:col min="10" max="10" width="30" hidden="0" customWidth="1"/>
    <x:col min="11" max="11" width="14" hidden="0" customWidth="1"/>
    <x:col min="12" max="12" width="42" hidden="0" customWidth="1"/>
    <x:col min="13" max="13" width="24" hidden="0" customWidth="1"/>
    <x:col min="14" max="14" width="42" hidden="0" customWidth="1"/>
    <x:col min="15" max="15" width="24" hidden="0" customWidth="1"/>
    <x:col min="16" max="16" width="18" hidden="0" customWidth="1"/>
    <x:col min="17" max="17" width="30" hidden="0" customWidth="1"/>
  </x:cols>
  <x:sheetData>
    <x:row r="1">
      <x:c r="A1" s="97" t="str">
        <x:v>Dores, evidências e oportunidades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92" t="str">
        <x:v>ID dor</x:v>
      </x:c>
      <x:c r="B3" s="92" t="str">
        <x:v>ID etapa relacionada</x:v>
      </x:c>
      <x:c r="C3" s="92" t="str">
        <x:v>Dor / necessidade</x:v>
      </x:c>
      <x:c r="D3" s="92" t="str">
        <x:v>Descrição do problema</x:v>
      </x:c>
      <x:c r="E3" s="92" t="str">
        <x:v>Tipo de dor</x:v>
      </x:c>
      <x:c r="F3" s="92" t="str">
        <x:v>Frequência</x:v>
      </x:c>
      <x:c r="G3" s="92" t="str">
        <x:v>Severidade</x:v>
      </x:c>
      <x:c r="H3" s="92" t="str">
        <x:v>Impacto no negócio</x:v>
      </x:c>
      <x:c r="I3" s="92" t="str">
        <x:v>Impacto no cliente</x:v>
      </x:c>
      <x:c r="J3" s="92" t="str">
        <x:v>Impacto operacional</x:v>
      </x:c>
      <x:c r="K3" s="92" t="str">
        <x:v>Risco</x:v>
      </x:c>
      <x:c r="L3" s="92" t="str">
        <x:v>Evidência / frase</x:v>
      </x:c>
      <x:c r="M3" s="92" t="str">
        <x:v>Origem da evidência</x:v>
      </x:c>
      <x:c r="N3" s="92" t="str">
        <x:v>Hipótese de oportunidade</x:v>
      </x:c>
      <x:c r="O3" s="92" t="str">
        <x:v>Jornada candidata</x:v>
      </x:c>
      <x:c r="P3" s="92" t="str">
        <x:v>Prioridade sugerida</x:v>
      </x:c>
      <x:c r="Q3" s="92" t="str">
        <x:v>Observações</x:v>
      </x:c>
      <x:c r="R3" s="92"/>
      <x:c r="S3" s="92"/>
      <x:c r="T3" s="63"/>
      <x:c r="U3" s="63"/>
      <x:c r="V3" s="63"/>
      <x:c r="W3" s="63"/>
      <x:c r="X3" s="63"/>
      <x:c r="Y3" s="63"/>
      <x:c r="Z3" s="63"/>
    </x:row>
    <x:row r="4">
      <x:c r="A4" s="63" t="str">
        <x:v>D01</x:v>
      </x:c>
      <x:c r="B4" s="63" t="str">
        <x:v>E01</x:v>
      </x:c>
      <x:c r="C4" s="63" t="str">
        <x:v>Busca de cliente limitada</x:v>
      </x:c>
      <x:c r="D4" s="63" t="str">
        <x:v>A usuária só consegue localizar clientes pelo número da conta, o que exige consulta paralela quando não tem o número à mão.</x:v>
      </x:c>
      <x:c r="E4" s="63" t="str">
        <x:v>Usabilidade</x:v>
      </x:c>
      <x:c r="F4" s="63" t="str">
        <x:v>Alta</x:v>
      </x:c>
      <x:c r="G4" s="63" t="str">
        <x:v>Alta</x:v>
      </x:c>
      <x:c r="H4" s="63" t="str">
        <x:v>Reduz produtividade e atrasa ativação/operação</x:v>
      </x:c>
      <x:c r="I4" s="63" t="str">
        <x:v>Cliente pode esperar mais tempo</x:v>
      </x:c>
      <x:c r="J4" s="63" t="str">
        <x:v>Retrabalho de busca e conferência</x:v>
      </x:c>
      <x:c r="K4" s="63" t="str">
        <x:v>Médio</x:v>
      </x:c>
      <x:c r="L4" s="63" t="str">
        <x:v>“Só consigo achar ele pelo número da conta… não consigo pesquisar pelo nome”</x:v>
      </x:c>
      <x:c r="M4" s="63" t="str">
        <x:v>Entrevista / walkthrough Inter</x:v>
      </x:c>
      <x:c r="N4" s="63" t="str">
        <x:v>Permitir busca por nome, CPF, e-mail, acrônimo interno ou número da conta</x:v>
      </x:c>
      <x:c r="O4" s="63" t="str">
        <x:v>Entrada e ativação</x:v>
      </x:c>
      <x:c r="P4" s="63" t="str">
        <x:v>Alta</x:v>
      </x:c>
      <x:c r="Q4" s="63" t="str">
        <x:v>Quick win com alto impacto operacional</x:v>
      </x:c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D02</x:v>
      </x:c>
      <x:c r="B5" s="63" t="str">
        <x:v>E03</x:v>
      </x:c>
      <x:c r="C5" s="63" t="str">
        <x:v>Origem do saldo não identificada</x:v>
      </x:c>
      <x:c r="D5" s="63" t="str">
        <x:v>A conta única mistura uso bancário e investimento; o time não sabe se o saldo veio de salário, vencimento, dividendo, transferência ou resgate.</x:v>
      </x:c>
      <x:c r="E5" s="63" t="str">
        <x:v>Informação</x:v>
      </x:c>
      <x:c r="F5" s="63" t="str">
        <x:v>Alta</x:v>
      </x:c>
      <x:c r="G5" s="63" t="str">
        <x:v>Alta</x:v>
      </x:c>
      <x:c r="H5" s="63" t="str">
        <x:v>Afeta proatividade de alocação e uso do caixa</x:v>
      </x:c>
      <x:c r="I5" s="63" t="str">
        <x:v>Cliente pode precisar cobrar a consultoria</x:v>
      </x:c>
      <x:c r="J5" s="63" t="str">
        <x:v>Contato extra com cliente; dinheiro pode ficar parado</x:v>
      </x:c>
      <x:c r="K5" s="63" t="str">
        <x:v>Alto</x:v>
      </x:c>
      <x:c r="L5" s="63" t="str">
        <x:v>“Não sei se é para a gente aplicar ou não”</x:v>
      </x:c>
      <x:c r="M5" s="63" t="str">
        <x:v>Entrevista / walkthrough Inter</x:v>
      </x:c>
      <x:c r="N5" s="63" t="str">
        <x:v>Classificar créditos por origem e destacar caixa investível</x:v>
      </x:c>
      <x:c r="O5" s="63" t="str">
        <x:v>Consulta de caixa e saldo</x:v>
      </x:c>
      <x:c r="P5" s="63" t="str">
        <x:v>Alta</x:v>
      </x:c>
      <x:c r="Q5" s="63" t="str">
        <x:v>Principal dor para estar à frente do cliente</x:v>
      </x:c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D03</x:v>
      </x:c>
      <x:c r="B6" s="63" t="str">
        <x:v>E04</x:v>
      </x:c>
      <x:c r="C6" s="63" t="str">
        <x:v>Dados cadastrais insuficientes</x:v>
      </x:c>
      <x:c r="D6" s="63" t="str">
        <x:v>Portal/API não disponibiliza dados como e-mail, data de nascimento e informações cadastrais usadas para cruzamento interno.</x:v>
      </x:c>
      <x:c r="E6" s="63" t="str">
        <x:v>Dados/API</x:v>
      </x:c>
      <x:c r="F6" s="63" t="str">
        <x:v>Média</x:v>
      </x:c>
      <x:c r="G6" s="63" t="str">
        <x:v>Média</x:v>
      </x:c>
      <x:c r="H6" s="63" t="str">
        <x:v>Dificulta consolidação e operação integrada</x:v>
      </x:c>
      <x:c r="I6" s="63" t="str">
        <x:v>Impacto indireto</x:v>
      </x:c>
      <x:c r="J6" s="63" t="str">
        <x:v>Cruzamento manual com sistema próprio</x:v>
      </x:c>
      <x:c r="K6" s="63" t="str">
        <x:v>Médio</x:v>
      </x:c>
      <x:c r="L6" s="63" t="str">
        <x:v>“Nome completo não tem, e-mail não tem, data de nascimento não tem”</x:v>
      </x:c>
      <x:c r="M6" s="63" t="str">
        <x:v>Entrevista</x:v>
      </x:c>
      <x:c r="N6" s="63" t="str">
        <x:v>Ampliar dados consultáveis e exportáveis por perfil de permissão</x:v>
      </x:c>
      <x:c r="O6" s="63" t="str">
        <x:v>Consolidação de carteira</x:v>
      </x:c>
      <x:c r="P6" s="63" t="str">
        <x:v>Média</x:v>
      </x:c>
      <x:c r="Q6" s="63" t="str">
        <x:v>Ver dependência LGPD/permissões</x:v>
      </x:c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D04</x:v>
      </x:c>
      <x:c r="B7" s="63" t="str">
        <x:v>E05</x:v>
      </x:c>
      <x:c r="C7" s="63" t="str">
        <x:v>Falta data de aplicação</x:v>
      </x:c>
      <x:c r="D7" s="63" t="str">
        <x:v>Extrato/posição apresenta vencimento e taxa, mas não mostra data de aplicação/compra, essencial para explicar rendimento.</x:v>
      </x:c>
      <x:c r="E7" s="63" t="str">
        <x:v>Informação</x:v>
      </x:c>
      <x:c r="F7" s="63" t="str">
        <x:v>Média</x:v>
      </x:c>
      <x:c r="G7" s="63" t="str">
        <x:v>Alta</x:v>
      </x:c>
      <x:c r="H7" s="63" t="str">
        <x:v>Afeta qualidade da análise e explicação ao cliente</x:v>
      </x:c>
      <x:c r="I7" s="63" t="str">
        <x:v>Pode reduzir confiança na recomendação</x:v>
      </x:c>
      <x:c r="J7" s="63" t="str">
        <x:v>Consulta paralela ou explicação incompleta</x:v>
      </x:c>
      <x:c r="K7" s="63" t="str">
        <x:v>Médio</x:v>
      </x:c>
      <x:c r="L7" s="63" t="str">
        <x:v>“Só falta uma linha aqui, que seria a data que aplicou”</x:v>
      </x:c>
      <x:c r="M7" s="63" t="str">
        <x:v>Walkthrough Inter + comparação XP/BTG</x:v>
      </x:c>
      <x:c r="N7" s="63" t="str">
        <x:v>Adicionar data de aplicação/compra em posição, extrato e exportação</x:v>
      </x:c>
      <x:c r="O7" s="63" t="str">
        <x:v>Consulta de posição</x:v>
      </x:c>
      <x:c r="P7" s="63" t="str">
        <x:v>Alta</x:v>
      </x:c>
      <x:c r="Q7" s="63" t="str">
        <x:v>Funcionalidade simples com alto valor percebido</x:v>
      </x:c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D05</x:v>
      </x:c>
      <x:c r="B8" s="63" t="str">
        <x:v>E09</x:v>
      </x:c>
      <x:c r="C8" s="63" t="str">
        <x:v>Sem autonomia para credenciais e bloqueios</x:v>
      </x:c>
      <x:c r="D8" s="63" t="str">
        <x:v>Reset de senha/token e bloqueio de conta dependem de suporte externo.</x:v>
      </x:c>
      <x:c r="E8" s="63" t="str">
        <x:v>Autonomia operacional</x:v>
      </x:c>
      <x:c r="F8" s="63" t="str">
        <x:v>Alta</x:v>
      </x:c>
      <x:c r="G8" s="63" t="str">
        <x:v>Alta</x:v>
      </x:c>
      <x:c r="H8" s="63" t="str">
        <x:v>Aumenta dependência do banco e tempo de atendimento</x:v>
      </x:c>
      <x:c r="I8" s="63" t="str">
        <x:v>Cliente espera resolução de urgência</x:v>
      </x:c>
      <x:c r="J8" s="63" t="str">
        <x:v>Acionamento manual do suporte</x:v>
      </x:c>
      <x:c r="K8" s="63" t="str">
        <x:v>Alto</x:v>
      </x:c>
      <x:c r="L8" s="63" t="str">
        <x:v>“Quanto mais autonomia… zerar senha, bloquear uma conta… facilita o dia a dia”</x:v>
      </x:c>
      <x:c r="M8" s="63" t="str">
        <x:v>Entrevista + benchmark XP/BTG</x:v>
      </x:c>
      <x:c r="N8" s="63" t="str">
        <x:v>Criar ações seguras para reset/bloqueio com trilha de auditoria</x:v>
      </x:c>
      <x:c r="O8" s="63" t="str">
        <x:v>Serviços operacionais</x:v>
      </x:c>
      <x:c r="P8" s="63" t="str">
        <x:v>Alta</x:v>
      </x:c>
      <x:c r="Q8" s="63" t="str">
        <x:v>Exigir governança de permissões</x:v>
      </x:c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D06</x:v>
      </x:c>
      <x:c r="B9" s="63" t="str">
        <x:v>E10</x:v>
      </x:c>
      <x:c r="C9" s="63" t="str">
        <x:v>Informes de rendimento indisponíveis</x:v>
      </x:c>
      <x:c r="D9" s="63" t="str">
        <x:v>A consultoria não consegue baixar informes diretamente no Inter, enquanto concorrentes permitem por CPF/ano.</x:v>
      </x:c>
      <x:c r="E9" s="63" t="str">
        <x:v>Autonomia operacional</x:v>
      </x:c>
      <x:c r="F9" s="63" t="str">
        <x:v>Sazonal alta</x:v>
      </x:c>
      <x:c r="G9" s="63" t="str">
        <x:v>Média</x:v>
      </x:c>
      <x:c r="H9" s="63" t="str">
        <x:v>Aumenta chamados no período de IR</x:v>
      </x:c>
      <x:c r="I9" s="63" t="str">
        <x:v>Cliente depende da consultoria/suporte</x:v>
      </x:c>
      <x:c r="J9" s="63" t="str">
        <x:v>Solicitação manual</x:v>
      </x:c>
      <x:c r="K9" s="63" t="str">
        <x:v>Baixo</x:v>
      </x:c>
      <x:c r="L9" s="63" t="str">
        <x:v>“Informe de rendimento… a gente também não consegue ver por aqui”</x:v>
      </x:c>
      <x:c r="M9" s="63" t="str">
        <x:v>Entrevista + benchmark XP/BTG</x:v>
      </x:c>
      <x:c r="N9" s="63" t="str">
        <x:v>Central de documentos fiscais por ano e tipo</x:v>
      </x:c>
      <x:c r="O9" s="63" t="str">
        <x:v>Documentos fiscais</x:v>
      </x:c>
      <x:c r="P9" s="63" t="str">
        <x:v>Média</x:v>
      </x:c>
      <x:c r="Q9" s="63" t="str">
        <x:v>Alta sazonalidade</x:v>
      </x:c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D07</x:v>
      </x:c>
      <x:c r="B10" s="63" t="str">
        <x:v>E11</x:v>
      </x:c>
      <x:c r="C10" s="63" t="str">
        <x:v>Sem visão/ação de cartão e banking</x:v>
      </x:c>
      <x:c r="D10" s="63" t="str">
        <x:v>A usuária atende dúvidas sobre cartão, limite, fatura e bloqueio, mas não consegue operar esses recursos no Inter pelo portal.</x:v>
      </x:c>
      <x:c r="E10" s="63" t="str">
        <x:v>Serviço bancário</x:v>
      </x:c>
      <x:c r="F10" s="63" t="str">
        <x:v>Alta</x:v>
      </x:c>
      <x:c r="G10" s="63" t="str">
        <x:v>Média</x:v>
      </x:c>
      <x:c r="H10" s="63" t="str">
        <x:v>Reduz valor do portal como ferramenta de atendimento</x:v>
      </x:c>
      <x:c r="I10" s="63" t="str">
        <x:v>Cliente precisa acionar outros canais</x:v>
      </x:c>
      <x:c r="J10" s="63" t="str">
        <x:v>Dependência de suporte</x:v>
      </x:c>
      <x:c r="K10" s="63" t="str">
        <x:v>Médio</x:v>
      </x:c>
      <x:c r="L10" s="63" t="str">
        <x:v>“Limite do cartão… não consigo ver”</x:v>
      </x:c>
      <x:c r="M10" s="63" t="str">
        <x:v>Entrevista + benchmark BTG/XP</x:v>
      </x:c>
      <x:c r="N10" s="63" t="str">
        <x:v>Módulo Banking/Cartão com informações resumidas e ações permitidas</x:v>
      </x:c>
      <x:c r="O10" s="63" t="str">
        <x:v>Serviços bancários</x:v>
      </x:c>
      <x:c r="P10" s="63" t="str">
        <x:v>Alta</x:v>
      </x:c>
      <x:c r="Q10" s="63" t="str">
        <x:v>Inter é elogiado pelo cartão; portal não reflete esse valor</x:v>
      </x:c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 t="str">
        <x:v>D08</x:v>
      </x:c>
      <x:c r="B11" s="63" t="str">
        <x:v>E02</x:v>
      </x:c>
      <x:c r="C11" s="63" t="str">
        <x:v>Sem status em massa de migração/segmentação</x:v>
      </x:c>
      <x:c r="D11" s="63" t="str">
        <x:v>Após migração, é necessário entrar cliente a cliente ou perguntar ao suporte se já foi segmentado.</x:v>
      </x:c>
      <x:c r="E11" s="63" t="str">
        <x:v>Operação</x:v>
      </x:c>
      <x:c r="F11" s="63" t="str">
        <x:v>Média</x:v>
      </x:c>
      <x:c r="G11" s="63" t="str">
        <x:v>Média</x:v>
      </x:c>
      <x:c r="H11" s="63" t="str">
        <x:v>Atrasa início da operação e gera dependência interna</x:v>
      </x:c>
      <x:c r="I11" s="63" t="str">
        <x:v>Cliente pode ser cobrado por status</x:v>
      </x:c>
      <x:c r="J11" s="63" t="str">
        <x:v>Consulta manual, página por página</x:v>
      </x:c>
      <x:c r="K11" s="63" t="str">
        <x:v>Médio</x:v>
      </x:c>
      <x:c r="L11" s="63" t="str">
        <x:v>“Toda vez eu tenho que ficar perturbando Thais…”</x:v>
      </x:c>
      <x:c r="M11" s="63" t="str">
        <x:v>Entrevista</x:v>
      </x:c>
      <x:c r="N11" s="63" t="str">
        <x:v>Painel de onboarding com status em massa e pendências</x:v>
      </x:c>
      <x:c r="O11" s="63" t="str">
        <x:v>Entrada e ativação</x:v>
      </x:c>
      <x:c r="P11" s="63" t="str">
        <x:v>Alta</x:v>
      </x:c>
      <x:c r="Q11" s="63" t="str">
        <x:v>Bom candidato para quick win</x:v>
      </x:c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 t="str">
        <x:v>D09</x:v>
      </x:c>
      <x:c r="B12" s="63" t="str">
        <x:v>E01</x:v>
      </x:c>
      <x:c r="C12" s="63" t="str">
        <x:v>Copy confusa no aceite do cliente</x:v>
      </x:c>
      <x:c r="D12" s="63" t="str">
        <x:v>Cliente recebe fluxo com cobrança zero reais, gerando receio e perguntas.</x:v>
      </x:c>
      <x:c r="E12" s="63" t="str">
        <x:v>Comunicação/UX</x:v>
      </x:c>
      <x:c r="F12" s="63" t="str">
        <x:v>Média</x:v>
      </x:c>
      <x:c r="G12" s="63" t="str">
        <x:v>Média</x:v>
      </x:c>
      <x:c r="H12" s="63" t="str">
        <x:v>Pode reduzir fluidez do aceite</x:v>
      </x:c>
      <x:c r="I12" s="63" t="str">
        <x:v>Gera insegurança no cliente</x:v>
      </x:c>
      <x:c r="J12" s="63" t="str">
        <x:v>Explicação manual e passo a passo criado pela consultoria</x:v>
      </x:c>
      <x:c r="K12" s="63" t="str">
        <x:v>Médio</x:v>
      </x:c>
      <x:c r="L12" s="63" t="str">
        <x:v>“As pessoas ficam receosas… tem que pagar? aí vê que é zero reais”</x:v>
      </x:c>
      <x:c r="M12" s="63" t="str">
        <x:v>Entrevista</x:v>
      </x:c>
      <x:c r="N12" s="63" t="str">
        <x:v>Reescrever jornada de aceite e remover linguagem de cobrança quando não aplicável</x:v>
      </x:c>
      <x:c r="O12" s="63" t="str">
        <x:v>Convite e onboarding</x:v>
      </x:c>
      <x:c r="P12" s="63" t="str">
        <x:v>Alta</x:v>
      </x:c>
      <x:c r="Q12" s="63" t="str">
        <x:v>Impacta percepção de confiança</x:v>
      </x:c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 t="str">
        <x:v>D10</x:v>
      </x:c>
      <x:c r="B13" s="63" t="str">
        <x:v>E12</x:v>
      </x:c>
      <x:c r="C13" s="63" t="str">
        <x:v>Sem operação internacional pelo portal</x:v>
      </x:c>
      <x:c r="D13" s="63" t="str">
        <x:v>No Inter a consultoria consegue olhar a parte internacional, mas não enviar push/ordens.</x:v>
      </x:c>
      <x:c r="E13" s="63" t="str">
        <x:v>Produto/escopo</x:v>
      </x:c>
      <x:c r="F13" s="63" t="str">
        <x:v>Média</x:v>
      </x:c>
      <x:c r="G13" s="63" t="str">
        <x:v>Alta</x:v>
      </x:c>
      <x:c r="H13" s="63" t="str">
        <x:v>Reduz uso do Inter para clientes offshore</x:v>
      </x:c>
      <x:c r="I13" s="63" t="str">
        <x:v>Cliente pode migrar fluxo para concorrente</x:v>
      </x:c>
      <x:c r="J13" s="63" t="str">
        <x:v>Operação fora do Inter ou perda de oportunidade</x:v>
      </x:c>
      <x:c r="K13" s="63" t="str">
        <x:v>Médio</x:v>
      </x:c>
      <x:c r="L13" s="63" t="str">
        <x:v>“A gente só consegue o nacional, aí o Internacional não”</x:v>
      </x:c>
      <x:c r="M13" s="63" t="str">
        <x:v>Entrevista + benchmark XP/Avenue</x:v>
      </x:c>
      <x:c r="N13" s="63" t="str">
        <x:v>Permitir câmbio, push e ordens internacionais</x:v>
      </x:c>
      <x:c r="O13" s="63" t="str">
        <x:v>Internacional/offshore</x:v>
      </x:c>
      <x:c r="P13" s="63" t="str">
        <x:v>Alta</x:v>
      </x:c>
      <x:c r="Q13" s="63" t="str">
        <x:v>Pode ser fase 2 se MVP focar nacional</x:v>
      </x:c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 t="str">
        <x:v>D11</x:v>
      </x:c>
      <x:c r="B14" s="63" t="str">
        <x:v>E13</x:v>
      </x:c>
      <x:c r="C14" s="63" t="str">
        <x:v>PJ não vinculada/operável no portal</x:v>
      </x:c>
      <x:c r="D14" s="63" t="str">
        <x:v>Demanda por holdings cresceu; Inter ainda exige processo manual por e-mail para PJ da consultoria.</x:v>
      </x:c>
      <x:c r="E14" s="63" t="str">
        <x:v>Produto/escopo</x:v>
      </x:c>
      <x:c r="F14" s="63" t="str">
        <x:v>Alta</x:v>
      </x:c>
      <x:c r="G14" s="63" t="str">
        <x:v>Alta</x:v>
      </x:c>
      <x:c r="H14" s="63" t="str">
        <x:v>Perde custódia e serviços para concorrentes</x:v>
      </x:c>
      <x:c r="I14" s="63" t="str">
        <x:v>Cliente PJ tem experiência inferior</x:v>
      </x:c>
      <x:c r="J14" s="63" t="str">
        <x:v>Processo manual sem acompanhamento</x:v>
      </x:c>
      <x:c r="K14" s="63" t="str">
        <x:v>Alto</x:v>
      </x:c>
      <x:c r="L14" s="63" t="str">
        <x:v>“Tem muita demanda… holdings”; “hoje… é um trabalho manual”</x:v>
      </x:c>
      <x:c r="M14" s="63" t="str">
        <x:v>Entrevista + benchmark BTG/XP</x:v>
      </x:c>
      <x:c r="N14" s="63" t="str">
        <x:v>Vincular PJ à consultoria com visão de investimentos e permissões</x:v>
      </x:c>
      <x:c r="O14" s="63" t="str">
        <x:v>Conta PJ/holding</x:v>
      </x:c>
      <x:c r="P14" s="63" t="str">
        <x:v>Alta</x:v>
      </x:c>
      <x:c r="Q14" s="63" t="str">
        <x:v>Jornada estratégica para expansão</x:v>
      </x:c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 t="str">
        <x:v>D12</x:v>
      </x:c>
      <x:c r="B15" s="63" t="str">
        <x:v>E14</x:v>
      </x:c>
      <x:c r="C15" s="63" t="str">
        <x:v>Falta dashboard gerencial da consultoria</x:v>
      </x:c>
      <x:c r="D15" s="63" t="str">
        <x:v>Não há visão de patrimônio total, custódia, captação, saldo parado e top clientes.</x:v>
      </x:c>
      <x:c r="E15" s="63" t="str">
        <x:v>Gestão/analytics</x:v>
      </x:c>
      <x:c r="F15" s="63" t="str">
        <x:v>Média</x:v>
      </x:c>
      <x:c r="G15" s="63" t="str">
        <x:v>Alta</x:v>
      </x:c>
      <x:c r="H15" s="63" t="str">
        <x:v>Menor gestão de carteira e priorização comercial</x:v>
      </x:c>
      <x:c r="I15" s="63" t="str">
        <x:v>Impacto indireto no cliente</x:v>
      </x:c>
      <x:c r="J15" s="63" t="str">
        <x:v>Relatórios paralelos</x:v>
      </x:c>
      <x:c r="K15" s="63" t="str">
        <x:v>Médio</x:v>
      </x:c>
      <x:c r="L15" s="63" t="str">
        <x:v>“Não sei o valor exato que eu tenho consolidado aqui com vocês”</x:v>
      </x:c>
      <x:c r="M15" s="63" t="str">
        <x:v>Entrevista + benchmark Avenue</x:v>
      </x:c>
      <x:c r="N15" s="63" t="str">
        <x:v>Dashboard com AUC, saldo disponível, top clientes, captação e insights</x:v>
      </x:c>
      <x:c r="O15" s="63" t="str">
        <x:v>Relatórios e visão gerencial</x:v>
      </x:c>
      <x:c r="P15" s="63" t="str">
        <x:v>Alta</x:v>
      </x:c>
      <x:c r="Q15" s="63" t="str">
        <x:v>Boa vitrine executiva do portal</x:v>
      </x:c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 t="str">
        <x:v>D13</x:v>
      </x:c>
      <x:c r="B16" s="63" t="str">
        <x:v>E08</x:v>
      </x:c>
      <x:c r="C16" s="63" t="str">
        <x:v>Sem chat/suporte contextual</x:v>
      </x:c>
      <x:c r="D16" s="63" t="str">
        <x:v>Problemas são tratados por WhatsApp ou canais fora do portal; concorrentes têm chat por tema.</x:v>
      </x:c>
      <x:c r="E16" s="63" t="str">
        <x:v>Suporte</x:v>
      </x:c>
      <x:c r="F16" s="63" t="str">
        <x:v>Média</x:v>
      </x:c>
      <x:c r="G16" s="63" t="str">
        <x:v>Média</x:v>
      </x:c>
      <x:c r="H16" s="63" t="str">
        <x:v>Aumenta dependência informal do time Inter</x:v>
      </x:c>
      <x:c r="I16" s="63" t="str">
        <x:v>Cliente espera resolução</x:v>
      </x:c>
      <x:c r="J16" s="63" t="str">
        <x:v>Perda de rastreabilidade e histórico</x:v>
      </x:c>
      <x:c r="K16" s="63" t="str">
        <x:v>Médio</x:v>
      </x:c>
      <x:c r="L16" s="63" t="str">
        <x:v>“Normalmente a gente pede socorro aí a Thais”</x:v>
      </x:c>
      <x:c r="M16" s="63" t="str">
        <x:v>Entrevista + benchmark BTG/XP</x:v>
      </x:c>
      <x:c r="N16" s="63" t="str">
        <x:v>Chat contextual por tema, cliente e operação</x:v>
      </x:c>
      <x:c r="O16" s="63" t="str">
        <x:v>Suporte e pendências</x:v>
      </x:c>
      <x:c r="P16" s="63" t="str">
        <x:v>Média</x:v>
      </x:c>
      <x:c r="Q16" s="63" t="str">
        <x:v>Pode começar com triagem e abertura de chamado</x:v>
      </x:c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 t="str">
        <x:v>D14</x:v>
      </x:c>
      <x:c r="B17" s="63" t="str">
        <x:v>E07</x:v>
      </x:c>
      <x:c r="C17" s="63" t="str">
        <x:v>Baixa visibilidade de erro/aprovação</x:v>
      </x:c>
      <x:c r="D17" s="63" t="str">
        <x:v>Quando aplicação dá erro, não há transparência suficiente sobre causa; versão do app do cliente pode impactar.</x:v>
      </x:c>
      <x:c r="E17" s="63" t="str">
        <x:v>Operação/tecnologia</x:v>
      </x:c>
      <x:c r="F17" s="63" t="str">
        <x:v>Baixa a média</x:v>
      </x:c>
      <x:c r="G17" s="63" t="str">
        <x:v>Média</x:v>
      </x:c>
      <x:c r="H17" s="63" t="str">
        <x:v>Pode impedir execução da operação</x:v>
      </x:c>
      <x:c r="I17" s="63" t="str">
        <x:v>Cliente não aprova ou não entende erro</x:v>
      </x:c>
      <x:c r="J17" s="63" t="str">
        <x:v>Chamados e follow-up manual</x:v>
      </x:c>
      <x:c r="K17" s="63" t="str">
        <x:v>Médio</x:v>
      </x:c>
      <x:c r="L17" s="63" t="str">
        <x:v>“Toda vez que ele tentava aplicar, dava algum erro”</x:v>
      </x:c>
      <x:c r="M17" s="63" t="str">
        <x:v>Entrevista</x:v>
      </x:c>
      <x:c r="N17" s="63" t="str">
        <x:v>Status detalhado da ordem, motivo de erro e versão do app</x:v>
      </x:c>
      <x:c r="O17" s="63" t="str">
        <x:v>Acompanhamento de operações</x:v>
      </x:c>
      <x:c r="P17" s="63" t="str">
        <x:v>Média</x:v>
      </x:c>
      <x:c r="Q17" s="63" t="str">
        <x:v>Não parece recorrente, mas importante para redução de chamados</x:v>
      </x:c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 t="str">
        <x:v>D15</x:v>
      </x:c>
      <x:c r="B18" s="63" t="str">
        <x:v>E06</x:v>
      </x:c>
      <x:c r="C18" s="63" t="str">
        <x:v>Recomendação em lote limitada</x:v>
      </x:c>
      <x:c r="D18" s="63" t="str">
        <x:v>Inter tem bom carrinho por cliente, mas falta fluxo por ativo para aplicar/recomendar para vários clientes de uma vez.</x:v>
      </x:c>
      <x:c r="E18" s="63" t="str">
        <x:v>Produtividade</x:v>
      </x:c>
      <x:c r="F18" s="63" t="str">
        <x:v>Média</x:v>
      </x:c>
      <x:c r="G18" s="63" t="str">
        <x:v>Alta</x:v>
      </x:c>
      <x:c r="H18" s="63" t="str">
        <x:v>Reduz escala de alocação</x:v>
      </x:c>
      <x:c r="I18" s="63" t="str">
        <x:v>Cliente pode receber recomendação mais tarde</x:v>
      </x:c>
      <x:c r="J18" s="63" t="str">
        <x:v>Repetição cliente a cliente</x:v>
      </x:c>
      <x:c r="K18" s="63" t="str">
        <x:v>Médio</x:v>
      </x:c>
      <x:c r="L18" s="63" t="str">
        <x:v>“Um ativo para vários clientes de uma vez só faz total sentido”</x:v>
      </x:c>
      <x:c r="M18" s="63" t="str">
        <x:v>Benchmark XP + discussão</x:v>
      </x:c>
      <x:c r="N18" s="63" t="str">
        <x:v>Criar recomendação por ativo para múltiplos clientes, com filtros e elegibilidade</x:v>
      </x:c>
      <x:c r="O18" s="63" t="str">
        <x:v>Recomendação em massa</x:v>
      </x:c>
      <x:c r="P18" s="63" t="str">
        <x:v>Alta</x:v>
      </x:c>
      <x:c r="Q18" s="63" t="str">
        <x:v>Alinha com operação de asset allocation</x:v>
      </x:c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 t="str">
        <x:v>D16</x:v>
      </x:c>
      <x:c r="B19" s="63" t="str">
        <x:v>E06</x:v>
      </x:c>
      <x:c r="C19" s="63" t="str">
        <x:v>Transferência/negociação entre clientes inexistente</x:v>
      </x:c>
      <x:c r="D19" s="63" t="str">
        <x:v>BTG permite transferir ativo entre clientes da própria base com deságio baixo; Inter não demonstrou equivalente.</x:v>
      </x:c>
      <x:c r="E19" s="63" t="str">
        <x:v>Produto/negociação</x:v>
      </x:c>
      <x:c r="F19" s="63" t="str">
        <x:v>Baixa a média</x:v>
      </x:c>
      <x:c r="G19" s="63" t="str">
        <x:v>Média</x:v>
      </x:c>
      <x:c r="H19" s="63" t="str">
        <x:v>Pode reduzir custo e melhorar execução para clientes</x:v>
      </x:c>
      <x:c r="I19" s="63" t="str">
        <x:v>Cliente economiza no resgate/venda</x:v>
      </x:c>
      <x:c r="J19" s="63" t="str">
        <x:v>Precisa usar mercado/peer-to-peer externo</x:v>
      </x:c>
      <x:c r="K19" s="63" t="str">
        <x:v>Médio</x:v>
      </x:c>
      <x:c r="L19" s="63" t="str">
        <x:v>“Transferir um ativo de um cliente para outro com deságio super baixo”</x:v>
      </x:c>
      <x:c r="M19" s="63" t="str">
        <x:v>Benchmark BTG</x:v>
      </x:c>
      <x:c r="N19" s="63" t="str">
        <x:v>Avaliar mercado interno entre clientes da consultoria</x:v>
      </x:c>
      <x:c r="O19" s="63" t="str">
        <x:v>Gestão operacional em massa</x:v>
      </x:c>
      <x:c r="P19" s="63" t="str">
        <x:v>Média</x:v>
      </x:c>
      <x:c r="Q19" s="63" t="str">
        <x:v>Mais avançado; provável fase posterior</x:v>
      </x:c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 t="str">
        <x:v>D17</x:v>
      </x:c>
      <x:c r="B20" s="63" t="str">
        <x:v>E15</x:v>
      </x:c>
      <x:c r="C20" s="63" t="str">
        <x:v>Eventos financeiros/cashback pouco explorados</x:v>
      </x:c>
      <x:c r="D20" s="63" t="str">
        <x:v>Concorrentes exibem devolução de cashback/taxa de distribuição no extrato e via API; isso apoia apuração e transparência.</x:v>
      </x:c>
      <x:c r="E20" s="63" t="str">
        <x:v>Financeiro/relatórios</x:v>
      </x:c>
      <x:c r="F20" s="63" t="str">
        <x:v>Mensal</x:v>
      </x:c>
      <x:c r="G20" s="63" t="str">
        <x:v>Média</x:v>
      </x:c>
      <x:c r="H20" s="63" t="str">
        <x:v>Ajuda cobrança, transparência e relacionamento</x:v>
      </x:c>
      <x:c r="I20" s="63" t="str">
        <x:v>Cliente entende devoluções/benefícios</x:v>
      </x:c>
      <x:c r="J20" s="63" t="str">
        <x:v>Apuração manual</x:v>
      </x:c>
      <x:c r="K20" s="63" t="str">
        <x:v>Baixo</x:v>
      </x:c>
      <x:c r="L20" s="63" t="str">
        <x:v>“Consigo fazer uma base de apuração pela API”</x:v>
      </x:c>
      <x:c r="M20" s="63" t="str">
        <x:v>Benchmark XP</x:v>
      </x:c>
      <x:c r="N20" s="63" t="str">
        <x:v>Eventos financeiros detalhados em extrato/API</x:v>
      </x:c>
      <x:c r="O20" s="63" t="str">
        <x:v>Cobrança e backoffice</x:v>
      </x:c>
      <x:c r="P20" s="63" t="str">
        <x:v>Média</x:v>
      </x:c>
      <x:c r="Q20" s="63" t="str">
        <x:v>Conectar com financeiro mensal</x:v>
      </x:c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 t="str">
        <x:v>D18</x:v>
      </x:c>
      <x:c r="B21" s="63" t="str">
        <x:v>E03</x:v>
      </x:c>
      <x:c r="C21" s="63" t="str">
        <x:v>Conta única aumenta ambiguidade</x:v>
      </x:c>
      <x:c r="D21" s="63" t="str">
        <x:v>Modelo do Inter não separa conta investimento e conta digital, criando ambiguidade operacional para a consultoria.</x:v>
      </x:c>
      <x:c r="E21" s="63" t="str">
        <x:v>Modelo de conta</x:v>
      </x:c>
      <x:c r="F21" s="63" t="str">
        <x:v>Alta</x:v>
      </x:c>
      <x:c r="G21" s="63" t="str">
        <x:v>Média</x:v>
      </x:c>
      <x:c r="H21" s="63" t="str">
        <x:v>Dificulta recomendação proativa sem perguntar ao cliente</x:v>
      </x:c>
      <x:c r="I21" s="63" t="str">
        <x:v>Cliente pode ser perguntado sobre saldo pessoal</x:v>
      </x:c>
      <x:c r="J21" s="63" t="str">
        <x:v>Contato extra e decisão incerta</x:v>
      </x:c>
      <x:c r="K21" s="63" t="str">
        <x:v>Médio</x:v>
      </x:c>
      <x:c r="L21" s="63" t="str">
        <x:v>“Nas outras corretoras… conta investimento e conta digital”</x:v>
      </x:c>
      <x:c r="M21" s="63" t="str">
        <x:v>Entrevista</x:v>
      </x:c>
      <x:c r="N21" s="63" t="str">
        <x:v>Não mudar conta, mas criar classificação de origem/caixa investível</x:v>
      </x:c>
      <x:c r="O21" s="63" t="str">
        <x:v>Consulta de caixa</x:v>
      </x:c>
      <x:c r="P21" s="63" t="str">
        <x:v>Alta</x:v>
      </x:c>
      <x:c r="Q21" s="63" t="str">
        <x:v>Resolver por camada informacional, não estrutural</x:v>
      </x:c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 t="str">
        <x:v>D19</x:v>
      </x:c>
      <x:c r="B22" s="63" t="str">
        <x:v>E04</x:v>
      </x:c>
      <x:c r="C22" s="63" t="str">
        <x:v>Saldos/API não tão em tempo real quanto necessário</x:v>
      </x:c>
      <x:c r="D22" s="63" t="str">
        <x:v>Para estar à frente do cliente, a consultoria precisa de caixa e movimentações o mais atualizados possível.</x:v>
      </x:c>
      <x:c r="E22" s="63" t="str">
        <x:v>Dados/API</x:v>
      </x:c>
      <x:c r="F22" s="63" t="str">
        <x:v>Alta</x:v>
      </x:c>
      <x:c r="G22" s="63" t="str">
        <x:v>Alta</x:v>
      </x:c>
      <x:c r="H22" s="63" t="str">
        <x:v>Aumenta chance de cliente cobrar a consultoria</x:v>
      </x:c>
      <x:c r="I22" s="63" t="str">
        <x:v>Cliente percebe falta de proatividade</x:v>
      </x:c>
      <x:c r="J22" s="63" t="str">
        <x:v>Consulta e atualização manual</x:v>
      </x:c>
      <x:c r="K22" s="63" t="str">
        <x:v>Médio</x:v>
      </x:c>
      <x:c r="L22" s="63" t="str">
        <x:v>“Quanto mais em tempo real possível”</x:v>
      </x:c>
      <x:c r="M22" s="63" t="str">
        <x:v>Entrevista</x:v>
      </x:c>
      <x:c r="N22" s="63" t="str">
        <x:v>Atualização mais frequente ou alertas de nova entrada de caixa</x:v>
      </x:c>
      <x:c r="O22" s="63" t="str">
        <x:v>Consolidação de carteira</x:v>
      </x:c>
      <x:c r="P22" s="63" t="str">
        <x:v>Alta</x:v>
      </x:c>
      <x:c r="Q22" s="63" t="str">
        <x:v>Forte conexão com valor percebido</x:v>
      </x:c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 t="str">
        <x:v>D20</x:v>
      </x:c>
      <x:c r="B23" s="63" t="str">
        <x:v>E14</x:v>
      </x:c>
      <x:c r="C23" s="63" t="str">
        <x:v>Falta camada de insights acionáveis</x:v>
      </x:c>
      <x:c r="D23" s="63" t="str">
        <x:v>Avenue mostra oportunidades, cadastro a vencer, produto de risco e clientes sem aplicação; Inter não apresentou visão semelhante.</x:v>
      </x:c>
      <x:c r="E23" s="63" t="str">
        <x:v>Analytics/insights</x:v>
      </x:c>
      <x:c r="F23" s="63" t="str">
        <x:v>Média</x:v>
      </x:c>
      <x:c r="G23" s="63" t="str">
        <x:v>Média</x:v>
      </x:c>
      <x:c r="H23" s="63" t="str">
        <x:v>Ajuda consultoria a priorizar ações e capturar oportunidades</x:v>
      </x:c>
      <x:c r="I23" s="63" t="str">
        <x:v>Cliente recebe abordagem mais proativa</x:v>
      </x:c>
      <x:c r="J23" s="63" t="str">
        <x:v>Análise manual</x:v>
      </x:c>
      <x:c r="K23" s="63" t="str">
        <x:v>Baixo a médio</x:v>
      </x:c>
      <x:c r="L23" s="63" t="str">
        <x:v>“Eles fazem uma curadoria aqui de vários insights”</x:v>
      </x:c>
      <x:c r="M23" s="63" t="str">
        <x:v>Benchmark Avenue</x:v>
      </x:c>
      <x:c r="N23" s="63" t="str">
        <x:v>Criar painel de insights e next-best-actions</x:v>
      </x:c>
      <x:c r="O23" s="63" t="str">
        <x:v>Relatórios e visão gerencial</x:v>
      </x:c>
      <x:c r="P23" s="63" t="str">
        <x:v>Média</x:v>
      </x:c>
      <x:c r="Q23" s="63" t="str">
        <x:v>Bom diferencial para evolução</x:v>
      </x:c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Q1"/>
  </x:mergeCells>
  <x:dataValidations count="4">
    <x:dataValidation type="list" sqref="E4:E100">
      <x:formula1>'06_Dicionário_Dropdowns'!$G$4:$G$13</x:formula1>
    </x:dataValidation>
    <x:dataValidation type="list" sqref="F4:F100">
      <x:formula1>'06_Dicionário_Dropdowns'!$I$4:$I$8</x:formula1>
    </x:dataValidation>
    <x:dataValidation type="list" sqref="G4:K100">
      <x:formula1>'06_Dicionário_Dropdowns'!$E$4:$E$7</x:formula1>
    </x:dataValidation>
    <x:dataValidation type="list" sqref="M4:M100">
      <x:formula1>'06_Dicionário_Dropdowns'!$K$4:$K$9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4d3a22cf34b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8" hidden="0" customWidth="1"/>
    <x:col min="5" max="5" width="42" hidden="0" customWidth="1"/>
    <x:col min="6" max="6" width="36" hidden="0" customWidth="1"/>
    <x:col min="7" max="7" width="32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34" hidden="0" customWidth="1"/>
    <x:col min="15" max="15" width="36" hidden="0" customWidth="1"/>
    <x:col min="16" max="16" width="34" hidden="0" customWidth="1"/>
    <x:col min="17" max="17" width="20" hidden="0" customWidth="1"/>
    <x:col min="18" max="18" width="26" hidden="0" customWidth="1"/>
    <x:col min="19" max="19" width="30" hidden="0" customWidth="1"/>
  </x:cols>
  <x:sheetData>
    <x:row r="1">
      <x:c r="A1" s="97" t="str">
        <x:v>Benchmark orientado por uso — plataformas concorrentes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92" t="str">
        <x:v>ID</x:v>
      </x:c>
      <x:c r="B3" s="92" t="str">
        <x:v>Plataforma / concorrente</x:v>
      </x:c>
      <x:c r="C3" s="92" t="str">
        <x:v>Fluxo demonstrado</x:v>
      </x:c>
      <x:c r="D3" s="92" t="str">
        <x:v>Tarefa observada</x:v>
      </x:c>
      <x:c r="E3" s="92" t="str">
        <x:v>O que funciona bem</x:v>
      </x:c>
      <x:c r="F3" s="92" t="str">
        <x:v>O que funciona mal</x:v>
      </x:c>
      <x:c r="G3" s="92" t="str">
        <x:v>Padrão de UX identificado</x:v>
      </x:c>
      <x:c r="H3" s="92" t="str">
        <x:v>Informação bem apresentada</x:v>
      </x:c>
      <x:c r="I3" s="92" t="str">
        <x:v>Informação ausente/confusa</x:v>
      </x:c>
      <x:c r="J3" s="92" t="str">
        <x:v>Quantidade de passos</x:v>
      </x:c>
      <x:c r="K3" s="92" t="str">
        <x:v>Facilidade percebida</x:v>
      </x:c>
      <x:c r="L3" s="92" t="str">
        <x:v>Confiança nos dados</x:v>
      </x:c>
      <x:c r="M3" s="92" t="str">
        <x:v>Velocidade</x:v>
      </x:c>
      <x:c r="N3" s="92" t="str">
        <x:v>Recursos úteis</x:v>
      </x:c>
      <x:c r="O3" s="92" t="str">
        <x:v>O que copiar</x:v>
      </x:c>
      <x:c r="P3" s="92" t="str">
        <x:v>O que evitar</x:v>
      </x:c>
      <x:c r="Q3" s="92" t="str">
        <x:v>Print / referência</x:v>
      </x:c>
      <x:c r="R3" s="92" t="str">
        <x:v>Jornada relacionada</x:v>
      </x:c>
      <x:c r="S3" s="92" t="str">
        <x:v>Observações</x:v>
      </x:c>
      <x:c r="T3" s="63"/>
      <x:c r="U3" s="63"/>
      <x:c r="V3" s="63"/>
      <x:c r="W3" s="63"/>
      <x:c r="X3" s="63"/>
      <x:c r="Y3" s="63"/>
      <x:c r="Z3" s="63"/>
    </x:row>
    <x:row r="4">
      <x:c r="A4" s="63" t="str">
        <x:v>B01</x:v>
      </x:c>
      <x:c r="B4" s="63" t="str">
        <x:v>XP</x:v>
      </x:c>
      <x:c r="C4" s="63" t="str">
        <x:v>Perfil e dados do cliente</x:v>
      </x:c>
      <x:c r="D4" s="63" t="str">
        <x:v>Consultar cliente e dados cadastrais</x:v>
      </x:c>
      <x:c r="E4" s="63" t="str">
        <x:v>Mostra patrimônio, conta, telefone, e-mail, CPF, perfil de investidor, validade cadastral, conta digital e fatura</x:v>
      </x:c>
      <x:c r="F4" s="63" t="str">
        <x:v>Algumas navegações pedem cliente/conta de novo mesmo partindo da conta selecionada</x:v>
      </x:c>
      <x:c r="G4" s="63" t="str">
        <x:v>Ficha do cliente completa com dados úteis no topo</x:v>
      </x:c>
      <x:c r="H4" s="63" t="str">
        <x:v>Patrimônio, perfil, cadastro, conta, cartão</x:v>
      </x:c>
      <x:c r="I4" s="63" t="str">
        <x:v>Integração ruim entre módulos de cartão/conta</x:v>
      </x:c>
      <x:c r="J4" s="63" t="str">
        <x:v>Médio</x:v>
      </x:c>
      <x:c r="K4" s="63" t="str">
        <x:v>Alta</x:v>
      </x:c>
      <x:c r="L4" s="63" t="str">
        <x:v>Alta</x:v>
      </x:c>
      <x:c r="M4" s="63" t="str">
        <x:v>Alta</x:v>
      </x:c>
      <x:c r="N4" s="63" t="str">
        <x:v>Dados cadastrais e validade do cadastro</x:v>
      </x:c>
      <x:c r="O4" s="63" t="str">
        <x:v>Ficha completa do cliente; validade cadastral; dados de contato</x:v>
      </x:c>
      <x:c r="P4" s="63" t="str">
        <x:v>Repedir seleção do cliente entre módulos</x:v>
      </x:c>
      <x:c r="Q4" s="63" t="str">
        <x:v>Demo XP na entrevista</x:v>
      </x:c>
      <x:c r="R4" s="63" t="str">
        <x:v>Consulta de cliente</x:v>
      </x:c>
      <x:c r="S4" s="63" t="str">
        <x:v>Boa referência de riqueza informacional</x:v>
      </x:c>
      <x:c r="T4" s="63"/>
      <x:c r="U4" s="63"/>
      <x:c r="V4" s="63"/>
      <x:c r="W4" s="63"/>
      <x:c r="X4" s="63"/>
      <x:c r="Y4" s="63"/>
      <x:c r="Z4" s="63"/>
    </x:row>
    <x:row r="5">
      <x:c r="A5" s="63" t="str">
        <x:v>B02</x:v>
      </x:c>
      <x:c r="B5" s="63" t="str">
        <x:v>XP</x:v>
      </x:c>
      <x:c r="C5" s="63" t="str">
        <x:v>Carteira e extrato</x:v>
      </x:c>
      <x:c r="D5" s="63" t="str">
        <x:v>Consultar posição, rentabilidade e extrato</x:v>
      </x:c>
      <x:c r="E5" s="63" t="str">
        <x:v>Mostra rentabilidade, produtos, data de aplicação, carência, vencimento, taxa e cashback no extrato</x:v>
      </x:c>
      <x:c r="F5" s="63" t="str">
        <x:v>Taxas/produtos podem estar menos competitivos; algumas instabilidades</x:v>
      </x:c>
      <x:c r="G5" s="63" t="str">
        <x:v>Extrato detalhado e explicável</x:v>
      </x:c>
      <x:c r="H5" s="63" t="str">
        <x:v>Data de aplicação; taxa; carência; vencimento; cashback</x:v>
      </x:c>
      <x:c r="I5" s="63" t="str">
        <x:v>—</x:v>
      </x:c>
      <x:c r="J5" s="63" t="str">
        <x:v>Baixo</x:v>
      </x:c>
      <x:c r="K5" s="63" t="str">
        <x:v>Alta</x:v>
      </x:c>
      <x:c r="L5" s="63" t="str">
        <x:v>Alta</x:v>
      </x:c>
      <x:c r="M5" s="63" t="str">
        <x:v>Alta</x:v>
      </x:c>
      <x:c r="N5" s="63" t="str">
        <x:v>Extrato com eventos financeiros e data aplicação</x:v>
      </x:c>
      <x:c r="O5" s="63" t="str">
        <x:v>Data de aplicação na posição; cashback/taxas no extrato</x:v>
      </x:c>
      <x:c r="P5" s="63" t="str">
        <x:v>Não sobrecarregar com informação sem hierarquia</x:v>
      </x:c>
      <x:c r="Q5" s="63" t="str">
        <x:v>Demo XP</x:v>
      </x:c>
      <x:c r="R5" s="63" t="str">
        <x:v>Consulta de carteira</x:v>
      </x:c>
      <x:c r="S5" s="63" t="str">
        <x:v>Funcionalidade simples de alto valor</x:v>
      </x:c>
      <x:c r="T5" s="63"/>
      <x:c r="U5" s="63"/>
      <x:c r="V5" s="63"/>
      <x:c r="W5" s="63"/>
      <x:c r="X5" s="63"/>
      <x:c r="Y5" s="63"/>
      <x:c r="Z5" s="63"/>
    </x:row>
    <x:row r="6">
      <x:c r="A6" s="63" t="str">
        <x:v>B03</x:v>
      </x:c>
      <x:c r="B6" s="63" t="str">
        <x:v>XP</x:v>
      </x:c>
      <x:c r="C6" s="63" t="str">
        <x:v>Credenciais e documentos</x:v>
      </x:c>
      <x:c r="D6" s="63" t="str">
        <x:v>Resetar senha/token, bloquear usuário e baixar informe</x:v>
      </x:c>
      <x:c r="E6" s="63" t="str">
        <x:v>Permite bloquear usuário, enviar nova senha, resetar assinatura/token e baixar informes por ano</x:v>
      </x:c>
      <x:c r="F6" s="63" t="str">
        <x:v>Algumas alterações precisam de aceite do cliente</x:v>
      </x:c>
      <x:c r="G6" s="63" t="str">
        <x:v>Autonomia operacional com segurança</x:v>
      </x:c>
      <x:c r="H6" s="63" t="str">
        <x:v>Status de credenciais, informes, dados sensíveis</x:v>
      </x:c>
      <x:c r="I6" s="63" t="str">
        <x:v>Não altera tudo do cadastro</x:v>
      </x:c>
      <x:c r="J6" s="63" t="str">
        <x:v>Baixo</x:v>
      </x:c>
      <x:c r="K6" s="63" t="str">
        <x:v>Alta</x:v>
      </x:c>
      <x:c r="L6" s="63" t="str">
        <x:v>Alta</x:v>
      </x:c>
      <x:c r="M6" s="63" t="str">
        <x:v>Alta</x:v>
      </x:c>
      <x:c r="N6" s="63" t="str">
        <x:v>Controle de credenciais; informe de rendimento</x:v>
      </x:c>
      <x:c r="O6" s="63" t="str">
        <x:v>Reset/bloqueio/documentos com permissão e auditoria</x:v>
      </x:c>
      <x:c r="P6" s="63" t="str">
        <x:v>Não permitir ações sem aceite ou trilha</x:v>
      </x:c>
      <x:c r="Q6" s="63" t="str">
        <x:v>Demo XP</x:v>
      </x:c>
      <x:c r="R6" s="63" t="str">
        <x:v>Serviços operacionais</x:v>
      </x:c>
      <x:c r="S6" s="63" t="str">
        <x:v>Referência direta para MVP de autonomia</x:v>
      </x:c>
      <x:c r="T6" s="63"/>
      <x:c r="U6" s="63"/>
      <x:c r="V6" s="63"/>
      <x:c r="W6" s="63"/>
      <x:c r="X6" s="63"/>
      <x:c r="Y6" s="63"/>
      <x:c r="Z6" s="63"/>
    </x:row>
    <x:row r="7">
      <x:c r="A7" s="63" t="str">
        <x:v>B04</x:v>
      </x:c>
      <x:c r="B7" s="63" t="str">
        <x:v>XP</x:v>
      </x:c>
      <x:c r="C7" s="63" t="str">
        <x:v>Resgate de renda fixa</x:v>
      </x:c>
      <x:c r="D7" s="63" t="str">
        <x:v>Simular resgate imediato ou trabalhado</x:v>
      </x:c>
      <x:c r="E7" s="63" t="str">
        <x:v>Permite resgate imediato ou trabalhado, com validade de ordem e negociação para reduzir perda</x:v>
      </x:c>
      <x:c r="F7" s="63" t="str">
        <x:v>Alguns papéis indisponíveis; depende de mercado</x:v>
      </x:c>
      <x:c r="G7" s="63" t="str">
        <x:v>Escolha clara entre liquidez rápida e melhor preço</x:v>
      </x:c>
      <x:c r="H7" s="63" t="str">
        <x:v>Taxa, prazo, validade, perda estimada</x:v>
      </x:c>
      <x:c r="I7" s="63" t="str">
        <x:v>Motivo de indisponibilidade pode ser pouco claro</x:v>
      </x:c>
      <x:c r="J7" s="63" t="str">
        <x:v>Médio</x:v>
      </x:c>
      <x:c r="K7" s="63" t="str">
        <x:v>Alta</x:v>
      </x:c>
      <x:c r="L7" s="63" t="str">
        <x:v>Média</x:v>
      </x:c>
      <x:c r="M7" s="63" t="str">
        <x:v>Alta</x:v>
      </x:c>
      <x:c r="N7" s="63" t="str">
        <x:v>Resgate trabalhado por até 5 dias</x:v>
      </x:c>
      <x:c r="O7" s="63" t="str">
        <x:v>Simulação de cenários e impacto para o cliente</x:v>
      </x:c>
      <x:c r="P7" s="63" t="str">
        <x:v>Deixar indisponibilidade sem explicação</x:v>
      </x:c>
      <x:c r="Q7" s="63" t="str">
        <x:v>Demo XP</x:v>
      </x:c>
      <x:c r="R7" s="63" t="str">
        <x:v>Recomendação/resgate</x:v>
      </x:c>
      <x:c r="S7" s="63" t="str">
        <x:v>Bom padrão para transparência de trade-off</x:v>
      </x:c>
      <x:c r="T7" s="63"/>
      <x:c r="U7" s="63"/>
      <x:c r="V7" s="63"/>
      <x:c r="W7" s="63"/>
      <x:c r="X7" s="63"/>
      <x:c r="Y7" s="63"/>
      <x:c r="Z7" s="63"/>
    </x:row>
    <x:row r="8">
      <x:c r="A8" s="63" t="str">
        <x:v>B05</x:v>
      </x:c>
      <x:c r="B8" s="63" t="str">
        <x:v>XP</x:v>
      </x:c>
      <x:c r="C8" s="63" t="str">
        <x:v>Recomendação em lote</x:v>
      </x:c>
      <x:c r="D8" s="63" t="str">
        <x:v>Enviar fundo/renda fixa para múltiplos clientes</x:v>
      </x:c>
      <x:c r="E8" s="63" t="str">
        <x:v>Permite escolher ativo/fundo e enviar ordens para vários clientes na mesma tela</x:v>
      </x:c>
      <x:c r="F8" s="63" t="str">
        <x:v>Fluxo tem múltiplas abas; não é sempre fluido</x:v>
      </x:c>
      <x:c r="G8" s="63" t="str">
        <x:v>Operação orientada ao ativo, não apenas ao cliente</x:v>
      </x:c>
      <x:c r="H8" s="63" t="str">
        <x:v>Lista de clientes; ativo; valores</x:v>
      </x:c>
      <x:c r="I8" s="63" t="str">
        <x:v>—</x:v>
      </x:c>
      <x:c r="J8" s="63" t="str">
        <x:v>Médio</x:v>
      </x:c>
      <x:c r="K8" s="63" t="str">
        <x:v>Alta</x:v>
      </x:c>
      <x:c r="L8" s="63" t="str">
        <x:v>Alta</x:v>
      </x:c>
      <x:c r="M8" s="63" t="str">
        <x:v>Alta</x:v>
      </x:c>
      <x:c r="N8" s="63" t="str">
        <x:v>Aplicação em lote por ativo</x:v>
      </x:c>
      <x:c r="O8" s="63" t="str">
        <x:v>Recomendação por ativo para múltiplos clientes</x:v>
      </x:c>
      <x:c r="P8" s="63" t="str">
        <x:v>Obrigar repetição cliente a cliente</x:v>
      </x:c>
      <x:c r="Q8" s="63" t="str">
        <x:v>Demo XP</x:v>
      </x:c>
      <x:c r="R8" s="63" t="str">
        <x:v>Gestão em massa</x:v>
      </x:c>
      <x:c r="S8" s="63" t="str">
        <x:v>Muito aderente ao modelo de alocação da Åpen</x:v>
      </x:c>
      <x:c r="T8" s="63"/>
      <x:c r="U8" s="63"/>
      <x:c r="V8" s="63"/>
      <x:c r="W8" s="63"/>
      <x:c r="X8" s="63"/>
      <x:c r="Y8" s="63"/>
      <x:c r="Z8" s="63"/>
    </x:row>
    <x:row r="9">
      <x:c r="A9" s="63" t="str">
        <x:v>B06</x:v>
      </x:c>
      <x:c r="B9" s="63" t="str">
        <x:v>XP</x:v>
      </x:c>
      <x:c r="C9" s="63" t="str">
        <x:v>Internacional</x:v>
      </x:c>
      <x:c r="D9" s="63" t="str">
        <x:v>Câmbio e aplicação internacional</x:v>
      </x:c>
      <x:c r="E9" s="63" t="str">
        <x:v>Permite acessar carteira internacional, fazer câmbio com spread e enviar ordens internacionais</x:v>
      </x:c>
      <x:c r="F9" s="63" t="str">
        <x:v>Pode haver erro/indisponibilidade pontual</x:v>
      </x:c>
      <x:c r="G9" s="63" t="str">
        <x:v>Nacional e internacional conectados no mesmo contexto</x:v>
      </x:c>
      <x:c r="H9" s="63" t="str">
        <x:v>Saldo internacional; spread; ativos; aprovação</x:v>
      </x:c>
      <x:c r="I9" s="63" t="str">
        <x:v>—</x:v>
      </x:c>
      <x:c r="J9" s="63" t="str">
        <x:v>Médio</x:v>
      </x:c>
      <x:c r="K9" s="63" t="str">
        <x:v>Alta</x:v>
      </x:c>
      <x:c r="L9" s="63" t="str">
        <x:v>Média</x:v>
      </x:c>
      <x:c r="M9" s="63" t="str">
        <x:v>Alta</x:v>
      </x:c>
      <x:c r="N9" s="63" t="str">
        <x:v>Câmbio e ordem internacional</x:v>
      </x:c>
      <x:c r="O9" s="63" t="str">
        <x:v>Operar offshore pelo portal com aprovação do cliente</x:v>
      </x:c>
      <x:c r="P9" s="63" t="str">
        <x:v>Deixar internacional apenas consultivo</x:v>
      </x:c>
      <x:c r="Q9" s="63" t="str">
        <x:v>Demo XP</x:v>
      </x:c>
      <x:c r="R9" s="63" t="str">
        <x:v>Internacional/offshore</x:v>
      </x:c>
      <x:c r="S9" s="63" t="str">
        <x:v>Necessário para ampliar uso do Inter</x:v>
      </x:c>
      <x:c r="T9" s="63"/>
      <x:c r="U9" s="63"/>
      <x:c r="V9" s="63"/>
      <x:c r="W9" s="63"/>
      <x:c r="X9" s="63"/>
      <x:c r="Y9" s="63"/>
      <x:c r="Z9" s="63"/>
    </x:row>
    <x:row r="10">
      <x:c r="A10" s="63" t="str">
        <x:v>B07</x:v>
      </x:c>
      <x:c r="B10" s="63" t="str">
        <x:v>BTG</x:v>
      </x:c>
      <x:c r="C10" s="63" t="str">
        <x:v>Banking e cartão</x:v>
      </x:c>
      <x:c r="D10" s="63" t="str">
        <x:v>Consultar limite, fatura, cartão, limites transacionais</x:v>
      </x:c>
      <x:c r="E10" s="63" t="str">
        <x:v>Mostra limite real, fatura, compras, bloqueio de cartão, aviso viagem e contestação</x:v>
      </x:c>
      <x:c r="F10" s="63" t="str">
        <x:v>Modelo de limite flexível gera confusão; versão nova foi mal recebida</x:v>
      </x:c>
      <x:c r="G10" s="63" t="str">
        <x:v>Banking integrado ao atendimento da consultoria</x:v>
      </x:c>
      <x:c r="H10" s="63" t="str">
        <x:v>Limite, fatura, status de cartão, contas</x:v>
      </x:c>
      <x:c r="I10" s="63" t="str">
        <x:v>Limite flexível pouco transparente</x:v>
      </x:c>
      <x:c r="J10" s="63" t="str">
        <x:v>Médio</x:v>
      </x:c>
      <x:c r="K10" s="63" t="str">
        <x:v>Alta</x:v>
      </x:c>
      <x:c r="L10" s="63" t="str">
        <x:v>Alta</x:v>
      </x:c>
      <x:c r="M10" s="63" t="str">
        <x:v>Alta</x:v>
      </x:c>
      <x:c r="N10" s="63" t="str">
        <x:v>Gestão de cartão e fatura</x:v>
      </x:c>
      <x:c r="O10" s="63" t="str">
        <x:v>Módulo de cartão/banking com permissões</x:v>
      </x:c>
      <x:c r="P10" s="63" t="str">
        <x:v>Limite com comunicação ambígua</x:v>
      </x:c>
      <x:c r="Q10" s="63" t="str">
        <x:v>Demo BTG</x:v>
      </x:c>
      <x:c r="R10" s="63" t="str">
        <x:v>Serviços bancários</x:v>
      </x:c>
      <x:c r="S10" s="63" t="str">
        <x:v>Inter tem cartão forte, mas portal precisa expor suporte</x:v>
      </x:c>
      <x:c r="T10" s="63"/>
      <x:c r="U10" s="63"/>
      <x:c r="V10" s="63"/>
      <x:c r="W10" s="63"/>
      <x:c r="X10" s="63"/>
      <x:c r="Y10" s="63"/>
      <x:c r="Z10" s="63"/>
    </x:row>
    <x:row r="11">
      <x:c r="A11" s="63" t="str">
        <x:v>B08</x:v>
      </x:c>
      <x:c r="B11" s="63" t="str">
        <x:v>BTG</x:v>
      </x:c>
      <x:c r="C11" s="63" t="str">
        <x:v>Suporte contextual</x:v>
      </x:c>
      <x:c r="D11" s="63" t="str">
        <x:v>Abrir chat por tema</x:v>
      </x:c>
      <x:c r="E11" s="63" t="str">
        <x:v>Chat já segmenta temas: banking/cartão, investimentos, PJ, cadastro etc.</x:v>
      </x:c>
      <x:c r="F11" s="63" t="str">
        <x:v>Pode depender do atendimento do banco</x:v>
      </x:c>
      <x:c r="G11" s="63" t="str">
        <x:v>Suporte contextual dentro da plataforma</x:v>
      </x:c>
      <x:c r="H11" s="63" t="str">
        <x:v>Tema, cliente, histórico implícito</x:v>
      </x:c>
      <x:c r="I11" s="63" t="str">
        <x:v>—</x:v>
      </x:c>
      <x:c r="J11" s="63" t="str">
        <x:v>Baixo</x:v>
      </x:c>
      <x:c r="K11" s="63" t="str">
        <x:v>Alta</x:v>
      </x:c>
      <x:c r="L11" s="63" t="str">
        <x:v>Alta</x:v>
      </x:c>
      <x:c r="M11" s="63" t="str">
        <x:v>Alta</x:v>
      </x:c>
      <x:c r="N11" s="63" t="str">
        <x:v>Chat por assunto</x:v>
      </x:c>
      <x:c r="O11" s="63" t="str">
        <x:v>Chat no Portal Inter por cliente/operação/tema</x:v>
      </x:c>
      <x:c r="P11" s="63" t="str">
        <x:v>WhatsApp como único canal operacional</x:v>
      </x:c>
      <x:c r="Q11" s="63" t="str">
        <x:v>Demo BTG</x:v>
      </x:c>
      <x:c r="R11" s="63" t="str">
        <x:v>Suporte e pendências</x:v>
      </x:c>
      <x:c r="S11" s="63" t="str">
        <x:v>Reduz dependência informal do time Inter</x:v>
      </x:c>
      <x:c r="T11" s="63"/>
      <x:c r="U11" s="63"/>
      <x:c r="V11" s="63"/>
      <x:c r="W11" s="63"/>
      <x:c r="X11" s="63"/>
      <x:c r="Y11" s="63"/>
      <x:c r="Z11" s="63"/>
    </x:row>
    <x:row r="12">
      <x:c r="A12" s="63" t="str">
        <x:v>B09</x:v>
      </x:c>
      <x:c r="B12" s="63" t="str">
        <x:v>BTG</x:v>
      </x:c>
      <x:c r="C12" s="63" t="str">
        <x:v>Transferência entre clientes</x:v>
      </x:c>
      <x:c r="D12" s="63" t="str">
        <x:v>Transferir ativo de um cliente da base para outro</x:v>
      </x:c>
      <x:c r="E12" s="63" t="str">
        <x:v>Permite trocar titularidade/transferir ativo entre clientes da própria base com custo menor</x:v>
      </x:c>
      <x:c r="F12" s="63" t="str">
        <x:v>Funcionalidade pode ser avançada e demandar regras fortes</x:v>
      </x:c>
      <x:c r="G12" s="63" t="str">
        <x:v>Mercado interno da base da consultoria</x:v>
      </x:c>
      <x:c r="H12" s="63" t="str">
        <x:v>Produto, cliente origem/destino, taxa</x:v>
      </x:c>
      <x:c r="I12" s="63" t="str">
        <x:v>—</x:v>
      </x:c>
      <x:c r="J12" s="63" t="str">
        <x:v>Médio</x:v>
      </x:c>
      <x:c r="K12" s="63" t="str">
        <x:v>Alta</x:v>
      </x:c>
      <x:c r="L12" s="63" t="str">
        <x:v>Alta</x:v>
      </x:c>
      <x:c r="M12" s="63" t="str">
        <x:v>Alta</x:v>
      </x:c>
      <x:c r="N12" s="63" t="str">
        <x:v>Transferência interna de ativo</x:v>
      </x:c>
      <x:c r="O12" s="63" t="str">
        <x:v>Avaliar funcionalidade futura de negociação entre clientes da consultoria</x:v>
      </x:c>
      <x:c r="P12" s="63" t="str">
        <x:v>Implementar sem controle de adequação/risco</x:v>
      </x:c>
      <x:c r="Q12" s="63" t="str">
        <x:v>Demo BTG</x:v>
      </x:c>
      <x:c r="R12" s="63" t="str">
        <x:v>Gestão operacional em massa</x:v>
      </x:c>
      <x:c r="S12" s="63" t="str">
        <x:v>Diferencial relevante, talvez fase posterior</x:v>
      </x:c>
      <x:c r="T12" s="63"/>
      <x:c r="U12" s="63"/>
      <x:c r="V12" s="63"/>
      <x:c r="W12" s="63"/>
      <x:c r="X12" s="63"/>
      <x:c r="Y12" s="63"/>
      <x:c r="Z12" s="63"/>
    </x:row>
    <x:row r="13">
      <x:c r="A13" s="63" t="str">
        <x:v>B10</x:v>
      </x:c>
      <x:c r="B13" s="63" t="str">
        <x:v>BTG</x:v>
      </x:c>
      <x:c r="C13" s="63" t="str">
        <x:v>Alertas e movimentos recentes</x:v>
      </x:c>
      <x:c r="D13" s="63" t="str">
        <x:v>Acompanhar últimas movimentações</x:v>
      </x:c>
      <x:c r="E13" s="63" t="str">
        <x:v>Sininho mostra Pix/transferências recentes e leva direto ao cliente</x:v>
      </x:c>
      <x:c r="F13" s="63" t="str">
        <x:v>—</x:v>
      </x:c>
      <x:c r="G13" s="63" t="str">
        <x:v>Feed de eventos acionáveis</x:v>
      </x:c>
      <x:c r="H13" s="63" t="str">
        <x:v>Evento, cliente, entrada/saída</x:v>
      </x:c>
      <x:c r="I13" s="63" t="str">
        <x:v>Data de aplicação nem sempre visível de bate pronto</x:v>
      </x:c>
      <x:c r="J13" s="63" t="str">
        <x:v>Baixo</x:v>
      </x:c>
      <x:c r="K13" s="63" t="str">
        <x:v>Alta</x:v>
      </x:c>
      <x:c r="L13" s="63" t="str">
        <x:v>Alta</x:v>
      </x:c>
      <x:c r="M13" s="63" t="str">
        <x:v>Alta</x:v>
      </x:c>
      <x:c r="N13" s="63" t="str">
        <x:v>Feed de movimentações</x:v>
      </x:c>
      <x:c r="O13" s="63" t="str">
        <x:v>Alertas de caixa, transferência, resgate e pendência</x:v>
      </x:c>
      <x:c r="P13" s="63" t="str">
        <x:v>Feed sem priorização</x:v>
      </x:c>
      <x:c r="Q13" s="63" t="str">
        <x:v>Demo BTG</x:v>
      </x:c>
      <x:c r="R13" s="63" t="str">
        <x:v>Consulta de caixa</x:v>
      </x:c>
      <x:c r="S13" s="63" t="str">
        <x:v>Alinha com dor de proatividade</x:v>
      </x:c>
      <x:c r="T13" s="63"/>
      <x:c r="U13" s="63"/>
      <x:c r="V13" s="63"/>
      <x:c r="W13" s="63"/>
      <x:c r="X13" s="63"/>
      <x:c r="Y13" s="63"/>
      <x:c r="Z13" s="63"/>
    </x:row>
    <x:row r="14">
      <x:c r="A14" s="63" t="str">
        <x:v>B11</x:v>
      </x:c>
      <x:c r="B14" s="63" t="str">
        <x:v>BTG</x:v>
      </x:c>
      <x:c r="C14" s="63" t="str">
        <x:v>Conta PJ / empresas</x:v>
      </x:c>
      <x:c r="D14" s="63" t="str">
        <x:v>Operar PJ com banking, usuários e serviços</x:v>
      </x:c>
      <x:c r="E14" s="63" t="str">
        <x:v>Ecossistema PJ completo: folha, cartão, CNAB, empréstimos, energia, fornecedores, usuários/permissões</x:v>
      </x:c>
      <x:c r="F14" s="63" t="str">
        <x:v>Complexidade alta; universo além do investimento</x:v>
      </x:c>
      <x:c r="G14" s="63" t="str">
        <x:v>Portal PJ completo com segregação de permissões</x:v>
      </x:c>
      <x:c r="H14" s="63" t="str">
        <x:v>Usuários, folha, pagamentos, investimentos, serviços</x:v>
      </x:c>
      <x:c r="I14" s="63" t="str">
        <x:v>—</x:v>
      </x:c>
      <x:c r="J14" s="63" t="str">
        <x:v>Alto</x:v>
      </x:c>
      <x:c r="K14" s="63" t="str">
        <x:v>Alta</x:v>
      </x:c>
      <x:c r="L14" s="63" t="str">
        <x:v>Alta</x:v>
      </x:c>
      <x:c r="M14" s="63" t="str">
        <x:v>Média</x:v>
      </x:c>
      <x:c r="N14" s="63" t="str">
        <x:v>PJ Banking/Empresas</x:v>
      </x:c>
      <x:c r="O14" s="63" t="str">
        <x:v>Vincular PJ, investimentos e permissões no Portal Inter</x:v>
      </x:c>
      <x:c r="P14" s="63" t="str">
        <x:v>Tentar copiar tudo no MVP sem recorte</x:v>
      </x:c>
      <x:c r="Q14" s="63" t="str">
        <x:v>Demo BTG</x:v>
      </x:c>
      <x:c r="R14" s="63" t="str">
        <x:v>Conta PJ/holding</x:v>
      </x:c>
      <x:c r="S14" s="63" t="str">
        <x:v>Importante para expansão e retenção de holdings</x:v>
      </x:c>
      <x:c r="T14" s="63"/>
      <x:c r="U14" s="63"/>
      <x:c r="V14" s="63"/>
      <x:c r="W14" s="63"/>
      <x:c r="X14" s="63"/>
      <x:c r="Y14" s="63"/>
      <x:c r="Z14" s="63"/>
    </x:row>
    <x:row r="15">
      <x:c r="A15" s="63" t="str">
        <x:v>B12</x:v>
      </x:c>
      <x:c r="B15" s="63" t="str">
        <x:v>BTG</x:v>
      </x:c>
      <x:c r="C15" s="63" t="str">
        <x:v>Carteira e fundos</x:v>
      </x:c>
      <x:c r="D15" s="63" t="str">
        <x:v>Consultar produtos e fundos</x:v>
      </x:c>
      <x:c r="E15" s="63" t="str">
        <x:v>Boa usabilidade geral e dados amplos</x:v>
      </x:c>
      <x:c r="F15" s="63" t="str">
        <x:v>Fundos ficam sem classificação por classe; data de aplicação exige clique; versão nova ruim</x:v>
      </x:c>
      <x:c r="G15" s="63" t="str">
        <x:v>Hierarquia de produto precisa refletir modelo mental da consultoria</x:v>
      </x:c>
      <x:c r="H15" s="63" t="str">
        <x:v>Posições por produto</x:v>
      </x:c>
      <x:c r="I15" s="63" t="str">
        <x:v>Classe do fundo e data aplicação pouco visíveis</x:v>
      </x:c>
      <x:c r="J15" s="63" t="str">
        <x:v>Médio</x:v>
      </x:c>
      <x:c r="K15" s="63" t="str">
        <x:v>Média</x:v>
      </x:c>
      <x:c r="L15" s="63" t="str">
        <x:v>Média</x:v>
      </x:c>
      <x:c r="M15" s="63" t="str">
        <x:v>Média</x:v>
      </x:c>
      <x:c r="N15" s="63" t="str">
        <x:v>—</x:v>
      </x:c>
      <x:c r="O15" s="63" t="str">
        <x:v>Classificar fundos/ativos por classe de alocação</x:v>
      </x:c>
      <x:c r="P15" s="63" t="str">
        <x:v>Misturar fundos sem taxonomia clara</x:v>
      </x:c>
      <x:c r="Q15" s="63" t="str">
        <x:v>Demo BTG</x:v>
      </x:c>
      <x:c r="R15" s="63" t="str">
        <x:v>Consulta de carteira</x:v>
      </x:c>
      <x:c r="S15" s="63" t="str">
        <x:v>Evitar o “samba do crioulo doido” dos fundos</x:v>
      </x:c>
      <x:c r="T15" s="63"/>
      <x:c r="U15" s="63"/>
      <x:c r="V15" s="63"/>
      <x:c r="W15" s="63"/>
      <x:c r="X15" s="63"/>
      <x:c r="Y15" s="63"/>
      <x:c r="Z15" s="63"/>
    </x:row>
    <x:row r="16">
      <x:c r="A16" s="63" t="str">
        <x:v>B13</x:v>
      </x:c>
      <x:c r="B16" s="63" t="str">
        <x:v>Avenue</x:v>
      </x:c>
      <x:c r="C16" s="63" t="str">
        <x:v>Dashboard internacional</x:v>
      </x:c>
      <x:c r="D16" s="63" t="str">
        <x:v>Acompanhar custódia, captação, saldos e top clientes</x:v>
      </x:c>
      <x:c r="E16" s="63" t="str">
        <x:v>Mostra custódia total, captação do mês, percentual por produto, top clientes com saldo em BRL/USD</x:v>
      </x:c>
      <x:c r="F16" s="63" t="str">
        <x:v>Foco internacional; não substitui portal completo nacional</x:v>
      </x:c>
      <x:c r="G16" s="63" t="str">
        <x:v>Dashboard executivo e acionável</x:v>
      </x:c>
      <x:c r="H16" s="63" t="str">
        <x:v>AUC, captação, saldo, top clientes, mix produto</x:v>
      </x:c>
      <x:c r="I16" s="63" t="str">
        <x:v>—</x:v>
      </x:c>
      <x:c r="J16" s="63" t="str">
        <x:v>Baixo</x:v>
      </x:c>
      <x:c r="K16" s="63" t="str">
        <x:v>Alta</x:v>
      </x:c>
      <x:c r="L16" s="63" t="str">
        <x:v>Alta</x:v>
      </x:c>
      <x:c r="M16" s="63" t="str">
        <x:v>Alta</x:v>
      </x:c>
      <x:c r="N16" s="63" t="str">
        <x:v>Big numbers e ranking de saldo</x:v>
      </x:c>
      <x:c r="O16" s="63" t="str">
        <x:v>Dashboard gerencial da consultoria</x:v>
      </x:c>
      <x:c r="P16" s="63" t="str">
        <x:v>Dashboard sem ação operacional</x:v>
      </x:c>
      <x:c r="Q16" s="63" t="str">
        <x:v>Demo Avenue</x:v>
      </x:c>
      <x:c r="R16" s="63" t="str">
        <x:v>Visão gerencial</x:v>
      </x:c>
      <x:c r="S16" s="63" t="str">
        <x:v>Ótima referência para homepage do portal</x:v>
      </x:c>
      <x:c r="T16" s="63"/>
      <x:c r="U16" s="63"/>
      <x:c r="V16" s="63"/>
      <x:c r="W16" s="63"/>
      <x:c r="X16" s="63"/>
      <x:c r="Y16" s="63"/>
      <x:c r="Z16" s="63"/>
    </x:row>
    <x:row r="17">
      <x:c r="A17" s="63" t="str">
        <x:v>B14</x:v>
      </x:c>
      <x:c r="B17" s="63" t="str">
        <x:v>Avenue</x:v>
      </x:c>
      <x:c r="C17" s="63" t="str">
        <x:v>Insights e oportunidades</x:v>
      </x:c>
      <x:c r="D17" s="63" t="str">
        <x:v>Ver clientes com cadastro a vencer, risco, migração ou sem aplicação</x:v>
      </x:c>
      <x:c r="E17" s="63" t="str">
        <x:v>Curadoria de insights acionáveis para plano de ação</x:v>
      </x:c>
      <x:c r="F17" s="63" t="str">
        <x:v>Não carregou totalmente na demo, mas conceito foi valorizado</x:v>
      </x:c>
      <x:c r="G17" s="63" t="str">
        <x:v>Next-best-action operacional</x:v>
      </x:c>
      <x:c r="H17" s="63" t="str">
        <x:v>Cadastro a vencer, risco, oportunidades</x:v>
      </x:c>
      <x:c r="I17" s="63" t="str">
        <x:v>—</x:v>
      </x:c>
      <x:c r="J17" s="63" t="str">
        <x:v>Baixo</x:v>
      </x:c>
      <x:c r="K17" s="63" t="str">
        <x:v>Alta</x:v>
      </x:c>
      <x:c r="L17" s="63" t="str">
        <x:v>Média</x:v>
      </x:c>
      <x:c r="M17" s="63" t="str">
        <x:v>Alta</x:v>
      </x:c>
      <x:c r="N17" s="63" t="str">
        <x:v>Insights acionáveis</x:v>
      </x:c>
      <x:c r="O17" s="63" t="str">
        <x:v>Camada de alertas e oportunidades no Portal Inter</x:v>
      </x:c>
      <x:c r="P17" s="63" t="str">
        <x:v>Lista de insights sem prioridade/ação</x:v>
      </x:c>
      <x:c r="Q17" s="63" t="str">
        <x:v>Demo Avenue</x:v>
      </x:c>
      <x:c r="R17" s="63" t="str">
        <x:v>Relatórios e insights</x:v>
      </x:c>
      <x:c r="S17" s="63" t="str">
        <x:v>Boa evolução pós-MVP</x:v>
      </x:c>
      <x:c r="T17" s="63"/>
      <x:c r="U17" s="63"/>
      <x:c r="V17" s="63"/>
      <x:c r="W17" s="63"/>
      <x:c r="X17" s="63"/>
      <x:c r="Y17" s="63"/>
      <x:c r="Z17" s="63"/>
    </x:row>
    <x:row r="18">
      <x:c r="A18" s="63" t="str">
        <x:v>B15</x:v>
      </x:c>
      <x:c r="B18" s="63" t="str">
        <x:v>Inter atual</x:v>
      </x:c>
      <x:c r="C18" s="63" t="str">
        <x:v>Ativação e primeira movimentação</x:v>
      </x:c>
      <x:c r="D18" s="63" t="str">
        <x:v>Puxar conta e enviar carrinho de investimentos</x:v>
      </x:c>
      <x:c r="E18" s="63" t="str">
        <x:v>Puxar conta é rápido; cliente aprova rapidamente; carrinho da primeira movimentação é elogiado; filtros de Inter são bons</x:v>
      </x:c>
      <x:c r="F18" s="63" t="str">
        <x:v>Busca por conta; sem status em massa; sem origem de caixa; sem autonomia operacional</x:v>
      </x:c>
      <x:c r="G18" s="63" t="str">
        <x:v>Fluxo rápido, mas com lacunas de informação e gestão</x:v>
      </x:c>
      <x:c r="H18" s="63" t="str">
        <x:v>Lista de clientes, saldo, produtos</x:v>
      </x:c>
      <x:c r="I18" s="63" t="str">
        <x:v>Origem de saldo, data aplicação, status, dados completos</x:v>
      </x:c>
      <x:c r="J18" s="63" t="str">
        <x:v>Baixo</x:v>
      </x:c>
      <x:c r="K18" s="63" t="str">
        <x:v>Média</x:v>
      </x:c>
      <x:c r="L18" s="63" t="str">
        <x:v>Média</x:v>
      </x:c>
      <x:c r="M18" s="63" t="str">
        <x:v>Alta</x:v>
      </x:c>
      <x:c r="N18" s="63" t="str">
        <x:v>Carrinho de investimentos com explicação</x:v>
      </x:c>
      <x:c r="O18" s="63" t="str">
        <x:v>Manter pontos fortes: rapidez, carrinho, aprovação simples</x:v>
      </x:c>
      <x:c r="P18" s="63" t="str">
        <x:v>Perder simplicidade ao adicionar recursos</x:v>
      </x:c>
      <x:c r="Q18" s="63" t="str">
        <x:v>Walkthrough Inter</x:v>
      </x:c>
      <x:c r="R18" s="63" t="str">
        <x:v>Jornada atual AS-IS</x:v>
      </x:c>
      <x:c r="S18" s="63" t="str">
        <x:v>Inter já tem base boa para evoluir</x:v>
      </x:c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S1"/>
  </x:mergeCells>
  <x:dataValidations count="2">
    <x:dataValidation type="list" sqref="K4:K100">
      <x:formula1>'06_Dicionário_Dropdowns'!$M$4:$M$8</x:formula1>
    </x:dataValidation>
    <x:dataValidation type="list" sqref="L4:M100">
      <x:formula1>'06_Dicionário_Dropdowns'!$E$4:$E$7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c448054cd47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5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</x:cols>
  <x:sheetData>
    <x:row r="1">
      <x:c r="A1" s="97" t="str">
        <x:v>Priorização de jornadas candidatas ao MVP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92" t="str">
        <x:v>Jornada candidata</x:v>
      </x:c>
      <x:c r="B3" s="92" t="str">
        <x:v>Dor principal</x:v>
      </x:c>
      <x:c r="C3" s="92" t="str">
        <x:v>Evidências fortes</x:v>
      </x:c>
      <x:c r="D3" s="92" t="str">
        <x:v>Frequência (1-5)</x:v>
      </x:c>
      <x:c r="E3" s="92" t="str">
        <x:v>Impacto usuário (1-5)</x:v>
      </x:c>
      <x:c r="F3" s="92" t="str">
        <x:v>Impacto negócio (1-5)</x:v>
      </x:c>
      <x:c r="G3" s="92" t="str">
        <x:v>Redução esforço (1-5)</x:v>
      </x:c>
      <x:c r="H3" s="92" t="str">
        <x:v>Confiança evidência (1-5)</x:v>
      </x:c>
      <x:c r="I3" s="92" t="str">
        <x:v>Risco se não resolver (1-5)</x:v>
      </x:c>
      <x:c r="J3" s="92" t="str">
        <x:v>Esforço implementação (1-5)</x:v>
      </x:c>
      <x:c r="K3" s="92" t="str">
        <x:v>Dependência técnica (1-5)</x:v>
      </x:c>
      <x:c r="L3" s="92" t="str">
        <x:v>Score valor</x:v>
      </x:c>
      <x:c r="M3" s="92" t="str">
        <x:v>Score esforço/risco</x:v>
      </x:c>
      <x:c r="N3" s="92" t="str">
        <x:v>Score final</x:v>
      </x:c>
      <x:c r="O3" s="92" t="str">
        <x:v>Recomendação</x:v>
      </x:c>
      <x:c r="P3" s="92"/>
      <x:c r="Q3" s="92"/>
      <x:c r="R3" s="92"/>
      <x:c r="S3" s="92"/>
      <x:c r="T3" s="63"/>
      <x:c r="U3" s="63"/>
      <x:c r="V3" s="63"/>
      <x:c r="W3" s="63"/>
      <x:c r="X3" s="63"/>
      <x:c r="Y3" s="63"/>
      <x:c r="Z3" s="63"/>
    </x:row>
    <x:row r="4">
      <x:c r="A4" s="63" t="str">
        <x:v>Consulta de carteira e posição consolidada</x:v>
      </x:c>
      <x:c r="B4" s="63" t="str">
        <x:v>Origem do saldo, data de aplicação e dados suficientes para confiar na posição</x:v>
      </x:c>
      <x:c r="C4" s="63" t="str">
        <x:v>D02, D04, D18, D19; recorrente, impacta proatividade e explicação ao cliente</x:v>
      </x:c>
      <x:c r="D4" s="68" t="n">
        <x:v>5</x:v>
      </x:c>
      <x:c r="E4" s="68" t="n">
        <x:v>4</x:v>
      </x:c>
      <x:c r="F4" s="68" t="n">
        <x:v>5</x:v>
      </x:c>
      <x:c r="G4" s="68" t="n">
        <x:v>5</x:v>
      </x:c>
      <x:c r="H4" s="68" t="n">
        <x:v>5</x:v>
      </x:c>
      <x:c r="I4" s="68" t="n">
        <x:v>4</x:v>
      </x:c>
      <x:c r="J4" s="68" t="n">
        <x:v>3</x:v>
      </x:c>
      <x:c r="K4" s="68" t="n">
        <x:v>3</x:v>
      </x:c>
      <x:c r="L4" s="82" t="n">
        <x:f>SUM(D4:I4)</x:f>
        <x:v>28</x:v>
      </x:c>
      <x:c r="M4" s="82" t="n">
        <x:f>SUM(J4:K4)</x:f>
        <x:v>6</x:v>
      </x:c>
      <x:c r="N4" s="82" t="n">
        <x:f>IFERROR(L4/M4,"")</x:f>
        <x:v>4.666666666666667</x:v>
      </x:c>
      <x:c r="O4" s="63" t="str">
        <x:f>IF(N4="","",IF(N4&gt;=3,"Priorizar",IF(N4&gt;=2,"Avaliar","Postergar")))</x:f>
        <x:v>Priorizar</x:v>
      </x:c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Evolução patrimonial e relatórios</x:v>
      </x:c>
      <x:c r="B5" s="63" t="str">
        <x:v>Falta visão gerencial de AUC, captação, saldo parado e top clientes</x:v>
      </x:c>
      <x:c r="C5" s="63" t="str">
        <x:v>D12, D20; Avenue foi referência clara para gestão e priorização</x:v>
      </x:c>
      <x:c r="D5" s="68" t="n">
        <x:v>4</x:v>
      </x:c>
      <x:c r="E5" s="68" t="n">
        <x:v>3</x:v>
      </x:c>
      <x:c r="F5" s="68" t="n">
        <x:v>5</x:v>
      </x:c>
      <x:c r="G5" s="68" t="n">
        <x:v>4</x:v>
      </x:c>
      <x:c r="H5" s="68" t="n">
        <x:v>4</x:v>
      </x:c>
      <x:c r="I5" s="68" t="n">
        <x:v>3</x:v>
      </x:c>
      <x:c r="J5" s="68" t="n">
        <x:v>3</x:v>
      </x:c>
      <x:c r="K5" s="68" t="n">
        <x:v>4</x:v>
      </x:c>
      <x:c r="L5" s="82" t="n">
        <x:f>SUM(D5:I5)</x:f>
        <x:v>23</x:v>
      </x:c>
      <x:c r="M5" s="82" t="n">
        <x:f>SUM(J5:K5)</x:f>
        <x:v>7</x:v>
      </x:c>
      <x:c r="N5" s="82" t="n">
        <x:f>IFERROR(L5/M5,"")</x:f>
        <x:v>3.2857142857142856</x:v>
      </x:c>
      <x:c r="O5" s="63" t="str">
        <x:f>IF(N5="","",IF(N5&gt;=3,"Priorizar",IF(N5&gt;=2,"Avaliar","Postergar")))</x:f>
        <x:v>Priorizar</x:v>
      </x:c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Recomendação e contratação de produtos</x:v>
      </x:c>
      <x:c r="B6" s="63" t="str">
        <x:v>Necessidade de recomendação por ativo para múltiplos clientes e melhor operação em escala</x:v>
      </x:c>
      <x:c r="C6" s="63" t="str">
        <x:v>D15, D16; XP e Inter mostram pontos fortes complementares</x:v>
      </x:c>
      <x:c r="D6" s="68" t="n">
        <x:v>5</x:v>
      </x:c>
      <x:c r="E6" s="68" t="n">
        <x:v>4</x:v>
      </x:c>
      <x:c r="F6" s="68" t="n">
        <x:v>5</x:v>
      </x:c>
      <x:c r="G6" s="68" t="n">
        <x:v>4</x:v>
      </x:c>
      <x:c r="H6" s="68" t="n">
        <x:v>5</x:v>
      </x:c>
      <x:c r="I6" s="68" t="n">
        <x:v>3</x:v>
      </x:c>
      <x:c r="J6" s="68" t="n">
        <x:v>4</x:v>
      </x:c>
      <x:c r="K6" s="68" t="n">
        <x:v>3</x:v>
      </x:c>
      <x:c r="L6" s="82" t="n">
        <x:f>SUM(D6:I6)</x:f>
        <x:v>26</x:v>
      </x:c>
      <x:c r="M6" s="82" t="n">
        <x:f>SUM(J6:K6)</x:f>
        <x:v>7</x:v>
      </x:c>
      <x:c r="N6" s="82" t="n">
        <x:f>IFERROR(L6/M6,"")</x:f>
        <x:v>3.7142857142857144</x:v>
      </x:c>
      <x:c r="O6" s="63" t="str">
        <x:f>IF(N6="","",IF(N6&gt;=3,"Priorizar",IF(N6&gt;=2,"Avaliar","Postergar")))</x:f>
        <x:v>Priorizar</x:v>
      </x:c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Acompanhamento de status, pendências e operações</x:v>
      </x:c>
      <x:c r="B7" s="63" t="str">
        <x:v>Falta status em massa, motivo de erro, versão do app e suporte contextual</x:v>
      </x:c>
      <x:c r="C7" s="63" t="str">
        <x:v>D08, D13, D14; reduz dependência de WhatsApp/suporte</x:v>
      </x:c>
      <x:c r="D7" s="68" t="n">
        <x:v>4</x:v>
      </x:c>
      <x:c r="E7" s="68" t="n">
        <x:v>4</x:v>
      </x:c>
      <x:c r="F7" s="68" t="n">
        <x:v>4</x:v>
      </x:c>
      <x:c r="G7" s="68" t="n">
        <x:v>4</x:v>
      </x:c>
      <x:c r="H7" s="68" t="n">
        <x:v>4</x:v>
      </x:c>
      <x:c r="I7" s="68" t="n">
        <x:v>4</x:v>
      </x:c>
      <x:c r="J7" s="68" t="n">
        <x:v>3</x:v>
      </x:c>
      <x:c r="K7" s="68" t="n">
        <x:v>3</x:v>
      </x:c>
      <x:c r="L7" s="82" t="n">
        <x:f>SUM(D7:I7)</x:f>
        <x:v>24</x:v>
      </x:c>
      <x:c r="M7" s="82" t="n">
        <x:f>SUM(J7:K7)</x:f>
        <x:v>6</x:v>
      </x:c>
      <x:c r="N7" s="82" t="n">
        <x:f>IFERROR(L7/M7,"")</x:f>
        <x:v>4</x:v>
      </x:c>
      <x:c r="O7" s="63" t="str">
        <x:f>IF(N7="","",IF(N7&gt;=3,"Priorizar",IF(N7&gt;=2,"Avaliar","Postergar")))</x:f>
        <x:v>Priorizar</x:v>
      </x:c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Convite e onboarding de clientes</x:v>
      </x:c>
      <x:c r="B8" s="63" t="str">
        <x:v>Jornada de aceite gera dúvida e falta status visível</x:v>
      </x:c>
      <x:c r="C8" s="63" t="str">
        <x:v>D01, D08, D09; ativação é rápida, mas precisa clareza e controle</x:v>
      </x:c>
      <x:c r="D8" s="68" t="n">
        <x:v>4</x:v>
      </x:c>
      <x:c r="E8" s="68" t="n">
        <x:v>4</x:v>
      </x:c>
      <x:c r="F8" s="68" t="n">
        <x:v>4</x:v>
      </x:c>
      <x:c r="G8" s="68" t="n">
        <x:v>3</x:v>
      </x:c>
      <x:c r="H8" s="68" t="n">
        <x:v>4</x:v>
      </x:c>
      <x:c r="I8" s="68" t="n">
        <x:v>3</x:v>
      </x:c>
      <x:c r="J8" s="68" t="n">
        <x:v>2</x:v>
      </x:c>
      <x:c r="K8" s="68" t="n">
        <x:v>3</x:v>
      </x:c>
      <x:c r="L8" s="82" t="n">
        <x:f>SUM(D8:I8)</x:f>
        <x:v>22</x:v>
      </x:c>
      <x:c r="M8" s="82" t="n">
        <x:f>SUM(J8:K8)</x:f>
        <x:v>5</x:v>
      </x:c>
      <x:c r="N8" s="82" t="n">
        <x:f>IFERROR(L8/M8,"")</x:f>
        <x:v>4.4</x:v>
      </x:c>
      <x:c r="O8" s="63" t="str">
        <x:f>IF(N8="","",IF(N8&gt;=3,"Priorizar",IF(N8&gt;=2,"Avaliar","Postergar")))</x:f>
        <x:v>Priorizar</x:v>
      </x:c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Cadastro e gestão de consultores</x:v>
      </x:c>
      <x:c r="B9" s="63" t="str">
        <x:v>Não apareceu como dor central na entrevista da Nathalia</x:v>
      </x:c>
      <x:c r="C9" s="63" t="str">
        <x:v>Baixa evidência direta; modelo interno da Åpen já é bem organizado</x:v>
      </x:c>
      <x:c r="D9" s="68" t="n">
        <x:v>2</x:v>
      </x:c>
      <x:c r="E9" s="68" t="n">
        <x:v>2</x:v>
      </x:c>
      <x:c r="F9" s="68" t="n">
        <x:v>2</x:v>
      </x:c>
      <x:c r="G9" s="68" t="n">
        <x:v>2</x:v>
      </x:c>
      <x:c r="H9" s="68" t="n">
        <x:v>2</x:v>
      </x:c>
      <x:c r="I9" s="68" t="n">
        <x:v>2</x:v>
      </x:c>
      <x:c r="J9" s="68" t="n">
        <x:v>5</x:v>
      </x:c>
      <x:c r="K9" s="68" t="n">
        <x:v>4</x:v>
      </x:c>
      <x:c r="L9" s="82" t="n">
        <x:f>SUM(D9:I9)</x:f>
        <x:v>12</x:v>
      </x:c>
      <x:c r="M9" s="82" t="n">
        <x:f>SUM(J9:K9)</x:f>
        <x:v>9</x:v>
      </x:c>
      <x:c r="N9" s="82" t="n">
        <x:f>IFERROR(L9/M9,"")</x:f>
        <x:v>1.3333333333333333</x:v>
      </x:c>
      <x:c r="O9" s="63" t="str">
        <x:f>IF(N9="","",IF(N9&gt;=3,"Priorizar",IF(N9&gt;=2,"Avaliar","Postergar")))</x:f>
        <x:v>Postergar</x:v>
      </x:c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Gestão operacional em massa</x:v>
      </x:c>
      <x:c r="B10" s="63" t="str">
        <x:v>Operar múltiplos clientes, transferências internas e lotes de recomendações</x:v>
      </x:c>
      <x:c r="C10" s="63" t="str">
        <x:v>D15, D16; alto valor para escala, porém maior complexidade</x:v>
      </x:c>
      <x:c r="D10" s="68" t="n">
        <x:v>4</x:v>
      </x:c>
      <x:c r="E10" s="68" t="n">
        <x:v>3</x:v>
      </x:c>
      <x:c r="F10" s="68" t="n">
        <x:v>5</x:v>
      </x:c>
      <x:c r="G10" s="68" t="n">
        <x:v>5</x:v>
      </x:c>
      <x:c r="H10" s="68" t="n">
        <x:v>4</x:v>
      </x:c>
      <x:c r="I10" s="68" t="n">
        <x:v>4</x:v>
      </x:c>
      <x:c r="J10" s="68" t="n">
        <x:v>4</x:v>
      </x:c>
      <x:c r="K10" s="68" t="n">
        <x:v>4</x:v>
      </x:c>
      <x:c r="L10" s="82" t="n">
        <x:f>SUM(D10:I10)</x:f>
        <x:v>25</x:v>
      </x:c>
      <x:c r="M10" s="82" t="n">
        <x:f>SUM(J10:K10)</x:f>
        <x:v>8</x:v>
      </x:c>
      <x:c r="N10" s="82" t="n">
        <x:f>IFERROR(L10/M10,"")</x:f>
        <x:v>3.125</x:v>
      </x:c>
      <x:c r="O10" s="63" t="str">
        <x:f>IF(N10="","",IF(N10&gt;=3,"Priorizar",IF(N10&gt;=2,"Avaliar","Postergar")))</x:f>
        <x:v>Priorizar</x:v>
      </x:c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 t="str">
        <x:v>Cobrança de taxas / backoffice</x:v>
      </x:c>
      <x:c r="B11" s="63" t="str">
        <x:v>Base mensal, cashback e eventos financeiros para cobrança/transparência</x:v>
      </x:c>
      <x:c r="C11" s="63" t="str">
        <x:v>D17; relevante, mas menos crítico que carteira/caixa/status</x:v>
      </x:c>
      <x:c r="D11" s="68" t="n">
        <x:v>3</x:v>
      </x:c>
      <x:c r="E11" s="68" t="n">
        <x:v>2</x:v>
      </x:c>
      <x:c r="F11" s="68" t="n">
        <x:v>3</x:v>
      </x:c>
      <x:c r="G11" s="68" t="n">
        <x:v>3</x:v>
      </x:c>
      <x:c r="H11" s="68" t="n">
        <x:v>3</x:v>
      </x:c>
      <x:c r="I11" s="68" t="n">
        <x:v>2</x:v>
      </x:c>
      <x:c r="J11" s="68" t="n">
        <x:v>3</x:v>
      </x:c>
      <x:c r="K11" s="68" t="n">
        <x:v>3</x:v>
      </x:c>
      <x:c r="L11" s="82" t="n">
        <x:f>SUM(D11:I11)</x:f>
        <x:v>16</x:v>
      </x:c>
      <x:c r="M11" s="82" t="n">
        <x:f>SUM(J11:K11)</x:f>
        <x:v>6</x:v>
      </x:c>
      <x:c r="N11" s="82" t="n">
        <x:f>IFERROR(L11/M11,"")</x:f>
        <x:v>2.6666666666666665</x:v>
      </x:c>
      <x:c r="O11" s="63" t="str">
        <x:f>IF(N11="","",IF(N11&gt;=3,"Priorizar",IF(N11&gt;=2,"Avaliar","Postergar")))</x:f>
        <x:v>Avaliar</x:v>
      </x:c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 t="str">
        <x:v>Conta PJ / holdings</x:v>
      </x:c>
      <x:c r="B12" s="63" t="str">
        <x:v>Inter não permite vincular/operar PJ no portal; demanda aumentou por holdings</x:v>
      </x:c>
      <x:c r="C12" s="63" t="str">
        <x:v>D11; perda potencial de custódia e serviços para concorrentes</x:v>
      </x:c>
      <x:c r="D12" s="68" t="n">
        <x:v>5</x:v>
      </x:c>
      <x:c r="E12" s="68" t="n">
        <x:v>4</x:v>
      </x:c>
      <x:c r="F12" s="68" t="n">
        <x:v>5</x:v>
      </x:c>
      <x:c r="G12" s="68" t="n">
        <x:v>4</x:v>
      </x:c>
      <x:c r="H12" s="68" t="n">
        <x:v>5</x:v>
      </x:c>
      <x:c r="I12" s="68" t="n">
        <x:v>5</x:v>
      </x:c>
      <x:c r="J12" s="68" t="n">
        <x:v>4</x:v>
      </x:c>
      <x:c r="K12" s="68" t="n">
        <x:v>5</x:v>
      </x:c>
      <x:c r="L12" s="82" t="n">
        <x:f>SUM(D12:I12)</x:f>
        <x:v>28</x:v>
      </x:c>
      <x:c r="M12" s="82" t="n">
        <x:f>SUM(J12:K12)</x:f>
        <x:v>9</x:v>
      </x:c>
      <x:c r="N12" s="82" t="n">
        <x:f>IFERROR(L12/M12,"")</x:f>
        <x:v>3.111111111111111</x:v>
      </x:c>
      <x:c r="O12" s="63" t="str">
        <x:f>IF(N12="","",IF(N12&gt;=3,"Priorizar",IF(N12&gt;=2,"Avaliar","Postergar")))</x:f>
        <x:v>Priorizar</x:v>
      </x:c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 t="str">
        <x:v>Internacional / offshore</x:v>
      </x:c>
      <x:c r="B13" s="63" t="str">
        <x:v>Inter permite olhar, mas não operar/push internacional; XP/Avenue são referência</x:v>
      </x:c>
      <x:c r="C13" s="63" t="str">
        <x:v>D10, B06, B13; importante para carteira completa da consultoria</x:v>
      </x:c>
      <x:c r="D13" s="68" t="n">
        <x:v>4</x:v>
      </x:c>
      <x:c r="E13" s="68" t="n">
        <x:v>4</x:v>
      </x:c>
      <x:c r="F13" s="68" t="n">
        <x:v>5</x:v>
      </x:c>
      <x:c r="G13" s="68" t="n">
        <x:v>4</x:v>
      </x:c>
      <x:c r="H13" s="68" t="n">
        <x:v>4</x:v>
      </x:c>
      <x:c r="I13" s="68" t="n">
        <x:v>3</x:v>
      </x:c>
      <x:c r="J13" s="68" t="n">
        <x:v>4</x:v>
      </x:c>
      <x:c r="K13" s="68" t="n">
        <x:v>5</x:v>
      </x:c>
      <x:c r="L13" s="82" t="n">
        <x:f>SUM(D13:I13)</x:f>
        <x:v>24</x:v>
      </x:c>
      <x:c r="M13" s="82" t="n">
        <x:f>SUM(J13:K13)</x:f>
        <x:v>9</x:v>
      </x:c>
      <x:c r="N13" s="82" t="n">
        <x:f>IFERROR(L13/M13,"")</x:f>
        <x:v>2.6666666666666665</x:v>
      </x:c>
      <x:c r="O13" s="63" t="str">
        <x:f>IF(N13="","",IF(N13&gt;=3,"Priorizar",IF(N13&gt;=2,"Avaliar","Postergar")))</x:f>
        <x:v>Avaliar</x:v>
      </x:c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 t="str">
        <x:v>Serviços operacionais e autonomia</x:v>
      </x:c>
      <x:c r="B14" s="63" t="str">
        <x:v>Reset, bloqueio, informes, cartão e suporte sem depender de WhatsApp</x:v>
      </x:c>
      <x:c r="C14" s="63" t="str">
        <x:v>D05, D06, D07, D13; recorrente no Daily Banker</x:v>
      </x:c>
      <x:c r="D14" s="68" t="n">
        <x:v>5</x:v>
      </x:c>
      <x:c r="E14" s="68" t="n">
        <x:v>4</x:v>
      </x:c>
      <x:c r="F14" s="68" t="n">
        <x:v>4</x:v>
      </x:c>
      <x:c r="G14" s="68" t="n">
        <x:v>5</x:v>
      </x:c>
      <x:c r="H14" s="68" t="n">
        <x:v>5</x:v>
      </x:c>
      <x:c r="I14" s="68" t="n">
        <x:v>4</x:v>
      </x:c>
      <x:c r="J14" s="68" t="n">
        <x:v>3</x:v>
      </x:c>
      <x:c r="K14" s="68" t="n">
        <x:v>4</x:v>
      </x:c>
      <x:c r="L14" s="82" t="n">
        <x:f>SUM(D14:I14)</x:f>
        <x:v>27</x:v>
      </x:c>
      <x:c r="M14" s="82" t="n">
        <x:f>SUM(J14:K14)</x:f>
        <x:v>7</x:v>
      </x:c>
      <x:c r="N14" s="82" t="n">
        <x:f>IFERROR(L14/M14,"")</x:f>
        <x:v>3.857142857142857</x:v>
      </x:c>
      <x:c r="O14" s="63" t="str">
        <x:f>IF(N14="","",IF(N14&gt;=3,"Priorizar",IF(N14&gt;=2,"Avaliar","Postergar")))</x:f>
        <x:v>Priorizar</x:v>
      </x:c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O1"/>
  </x:mergeCells>
  <x:conditionalFormatting sqref="N4:N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11">
    <x:cfRule type="expression" dxfId="0" priority="2">
      <x:formula>O4="Priorizar"</x:formula>
    </x:cfRule>
    <x:cfRule type="expression" dxfId="1" priority="3">
      <x:formula>O4="Avaliar"</x:formula>
    </x:cfRule>
    <x:cfRule type="expression" dxfId="2" priority="4">
      <x:formula>O4="Postergar"</x:formula>
    </x:cfRule>
  </x:conditionalFormatting>
  <x:conditionalFormatting sqref="O4:O14">
    <x:cfRule type="expression" dxfId="3" priority="5">
      <x:formula>O4="Priorizar"</x:formula>
    </x:cfRule>
    <x:cfRule type="expression" dxfId="4" priority="6">
      <x:formula>O4="Avaliar"</x:formula>
    </x:cfRule>
    <x:cfRule type="expression" dxfId="5" priority="7">
      <x:formula>O4="Postergar"</x:formula>
    </x:cfRule>
  </x:conditionalFormatting>
  <x:dataValidations count="1">
    <x:dataValidation operator="between" sqref="D4:K1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54353f9b9c48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" hidden="0" customWidth="1"/>
    <x:col min="3" max="3" width="20" hidden="0" customWidth="1"/>
    <x:col min="4" max="4" width="4" hidden="0" customWidth="1"/>
    <x:col min="5" max="5" width="16" hidden="0" customWidth="1"/>
    <x:col min="6" max="6" width="4" hidden="0" customWidth="1"/>
    <x:col min="7" max="7" width="20" hidden="0" customWidth="1"/>
    <x:col min="8" max="8" width="4" hidden="0" customWidth="1"/>
    <x:col min="9" max="9" width="18" hidden="0" customWidth="1"/>
    <x:col min="10" max="10" width="4" hidden="0" customWidth="1"/>
    <x:col min="11" max="11" width="26" hidden="0" customWidth="1"/>
    <x:col min="12" max="12" width="4" hidden="0" customWidth="1"/>
    <x:col min="13" max="13" width="24" hidden="0" customWidth="1"/>
  </x:cols>
  <x:sheetData>
    <x:row r="1">
      <x:c r="A1" s="62" t="str">
        <x:v>Dicionário de campos e listas para preenchimento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</x:row>
    <x:row r="3">
      <x:c r="A3" s="79" t="str">
        <x:v>Macro etapa</x:v>
      </x:c>
      <x:c r="B3" s="63"/>
      <x:c r="C3" s="79" t="str">
        <x:v>Emoção</x:v>
      </x:c>
      <x:c r="D3" s="63"/>
      <x:c r="E3" s="79" t="str">
        <x:v>Nível</x:v>
      </x:c>
      <x:c r="F3" s="63"/>
      <x:c r="G3" s="79" t="str">
        <x:v>Tipo de dor</x:v>
      </x:c>
      <x:c r="H3" s="63"/>
      <x:c r="I3" s="79" t="str">
        <x:v>Frequência</x:v>
      </x:c>
      <x:c r="J3" s="63"/>
      <x:c r="K3" s="79" t="str">
        <x:v>Origem da evidência</x:v>
      </x:c>
      <x:c r="L3" s="63"/>
      <x:c r="M3" s="79" t="str">
        <x:v>Facilidade percebida</x:v>
      </x:c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</x:row>
    <x:row r="4">
      <x:c r="A4" s="63" t="str">
        <x:v>Entrada e ativação</x:v>
      </x:c>
      <x:c r="B4" s="63"/>
      <x:c r="C4" s="63" t="str">
        <x:v>Frustração</x:v>
      </x:c>
      <x:c r="D4" s="63"/>
      <x:c r="E4" s="63" t="str">
        <x:v>Baixo</x:v>
      </x:c>
      <x:c r="F4" s="63"/>
      <x:c r="G4" s="63" t="str">
        <x:v>Usabilidade</x:v>
      </x:c>
      <x:c r="H4" s="63"/>
      <x:c r="I4" s="63" t="str">
        <x:v>Diária</x:v>
      </x:c>
      <x:c r="J4" s="63"/>
      <x:c r="K4" s="63" t="str">
        <x:v>Relato</x:v>
      </x:c>
      <x:c r="L4" s="63"/>
      <x:c r="M4" s="63" t="str">
        <x:v>Muito fácil</x:v>
      </x:c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</x:row>
    <x:row r="5">
      <x:c r="A5" s="63" t="str">
        <x:v>Gestão de consultores</x:v>
      </x:c>
      <x:c r="B5" s="63"/>
      <x:c r="C5" s="63" t="str">
        <x:v>Insegurança</x:v>
      </x:c>
      <x:c r="D5" s="63"/>
      <x:c r="E5" s="63" t="str">
        <x:v>Médio</x:v>
      </x:c>
      <x:c r="F5" s="63"/>
      <x:c r="G5" s="63" t="str">
        <x:v>Informação</x:v>
      </x:c>
      <x:c r="H5" s="63"/>
      <x:c r="I5" s="63" t="str">
        <x:v>Semanal</x:v>
      </x:c>
      <x:c r="J5" s="63"/>
      <x:c r="K5" s="63" t="str">
        <x:v>Observação em tela</x:v>
      </x:c>
      <x:c r="L5" s="63"/>
      <x:c r="M5" s="63" t="str">
        <x:v>Fácil</x:v>
      </x:c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</x:row>
    <x:row r="6">
      <x:c r="A6" s="63" t="str">
        <x:v>Onboarding cliente</x:v>
      </x:c>
      <x:c r="B6" s="63"/>
      <x:c r="C6" s="63" t="str">
        <x:v>Confusão</x:v>
      </x:c>
      <x:c r="D6" s="63"/>
      <x:c r="E6" s="63" t="str">
        <x:v>Alto</x:v>
      </x:c>
      <x:c r="F6" s="63"/>
      <x:c r="G6" s="63" t="str">
        <x:v>Operacional</x:v>
      </x:c>
      <x:c r="H6" s="63"/>
      <x:c r="I6" s="63" t="str">
        <x:v>Mensal</x:v>
      </x:c>
      <x:c r="J6" s="63"/>
      <x:c r="K6" s="63" t="str">
        <x:v>Frase literal</x:v>
      </x:c>
      <x:c r="L6" s="63"/>
      <x:c r="M6" s="63" t="str">
        <x:v>Média</x:v>
      </x:c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</x:row>
    <x:row r="7">
      <x:c r="A7" s="63" t="str">
        <x:v>Consulta carteira</x:v>
      </x:c>
      <x:c r="B7" s="63"/>
      <x:c r="C7" s="63" t="str">
        <x:v>Esforço</x:v>
      </x:c>
      <x:c r="D7" s="63"/>
      <x:c r="E7" s="63" t="str">
        <x:v>Crítico</x:v>
      </x:c>
      <x:c r="F7" s="63"/>
      <x:c r="G7" s="63" t="str">
        <x:v>Processo</x:v>
      </x:c>
      <x:c r="H7" s="63"/>
      <x:c r="I7" s="63" t="str">
        <x:v>Eventual</x:v>
      </x:c>
      <x:c r="J7" s="63"/>
      <x:c r="K7" s="63" t="str">
        <x:v>Documento</x:v>
      </x:c>
      <x:c r="L7" s="63"/>
      <x:c r="M7" s="63" t="str">
        <x:v>Difícil</x:v>
      </x:c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</x:row>
    <x:row r="8">
      <x:c r="A8" s="63" t="str">
        <x:v>Recomendação produto</x:v>
      </x:c>
      <x:c r="B8" s="63"/>
      <x:c r="C8" s="63" t="str">
        <x:v>Neutro</x:v>
      </x:c>
      <x:c r="D8" s="63"/>
      <x:c r="E8" s="63"/>
      <x:c r="F8" s="63"/>
      <x:c r="G8" s="63" t="str">
        <x:v>Tecnologia</x:v>
      </x:c>
      <x:c r="H8" s="63"/>
      <x:c r="I8" s="63" t="str">
        <x:v>Não informado</x:v>
      </x:c>
      <x:c r="J8" s="63"/>
      <x:c r="K8" s="63" t="str">
        <x:v>Comparativo concorrente</x:v>
      </x:c>
      <x:c r="L8" s="63"/>
      <x:c r="M8" s="63" t="str">
        <x:v>Muito difícil</x:v>
      </x:c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</x:row>
    <x:row r="9">
      <x:c r="A9" s="63" t="str">
        <x:v>Contratação / execução</x:v>
      </x:c>
      <x:c r="B9" s="63"/>
      <x:c r="C9" s="63" t="str">
        <x:v>Clareza</x:v>
      </x:c>
      <x:c r="D9" s="63"/>
      <x:c r="E9" s="63"/>
      <x:c r="F9" s="63"/>
      <x:c r="G9" s="63" t="str">
        <x:v>Integração</x:v>
      </x:c>
      <x:c r="H9" s="63"/>
      <x:c r="I9" s="63"/>
      <x:c r="J9" s="63"/>
      <x:c r="K9" s="63" t="str">
        <x:v>Inferência do pesquisador</x:v>
      </x:c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</x:row>
    <x:row r="10">
      <x:c r="A10" s="63" t="str">
        <x:v>Acompanhamento status</x:v>
      </x:c>
      <x:c r="B10" s="63"/>
      <x:c r="C10" s="63" t="str">
        <x:v>Confiança</x:v>
      </x:c>
      <x:c r="D10" s="63"/>
      <x:c r="E10" s="63"/>
      <x:c r="F10" s="63"/>
      <x:c r="G10" s="63" t="str">
        <x:v>Governança</x:v>
      </x:c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</x:row>
    <x:row r="11">
      <x:c r="A11" s="63" t="str">
        <x:v>Relatórios</x:v>
      </x:c>
      <x:c r="B11" s="63"/>
      <x:c r="C11" s="63" t="str">
        <x:v>Alívio</x:v>
      </x:c>
      <x:c r="D11" s="63"/>
      <x:c r="E11" s="63"/>
      <x:c r="F11" s="63"/>
      <x:c r="G11" s="63" t="str">
        <x:v>Risco</x:v>
      </x:c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</x:row>
    <x:row r="12">
      <x:c r="A12" s="63" t="str">
        <x:v>Backoffice / cobrança</x:v>
      </x:c>
      <x:c r="B12" s="63"/>
      <x:c r="C12" s="63" t="str">
        <x:v>Satisfação</x:v>
      </x:c>
      <x:c r="D12" s="63"/>
      <x:c r="E12" s="63"/>
      <x:c r="F12" s="63"/>
      <x:c r="G12" s="63" t="str">
        <x:v>Relacionamento</x:v>
      </x:c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  <x:row r="13">
      <x:c r="A13" s="63" t="str">
        <x:v>Gestão operacional em massa</x:v>
      </x:c>
      <x:c r="B13" s="63"/>
      <x:c r="C13" s="63"/>
      <x:c r="D13" s="63"/>
      <x:c r="E13" s="63"/>
      <x:c r="F13" s="63"/>
      <x:c r="G13" s="63" t="str">
        <x:v>Suporte</x:v>
      </x:c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18" hidden="0" customWidth="1"/>
    <x:col min="4" max="4" width="35" hidden="0" customWidth="1"/>
  </x:cols>
  <x:sheetData>
    <x:row r="1">
      <x:c r="A1" s="98" t="str">
        <x:v>Síntese da entrevista — Portal do Consultor | Nathalia Bunzen (Åpen Capital)</x:v>
      </x:c>
      <x:c r="B1" s="37"/>
      <x:c r="C1" s="37"/>
      <x:c r="D1" s="37"/>
    </x:row>
    <x:row r="2">
      <x:c r="A2" s="102" t="str">
        <x:v>Data da entrevista</x:v>
      </x:c>
      <x:c r="B2" s="63" t="str">
        <x:v>08/07/2026</x:v>
      </x:c>
      <x:c r="C2" s="63" t="str">
        <x:v>Duração</x:v>
      </x:c>
      <x:c r="D2" s="63" t="str">
        <x:v>1h30m</x:v>
      </x:c>
    </x:row>
    <x:row r="3">
      <x:c r="A3" s="102" t="str">
        <x:v>Perfil da operação</x:v>
      </x:c>
      <x:c r="B3" s="63" t="str">
        <x:v>Åpen atende cerca de 700 clientes, média aproximada de R$ 3,5 mi por pessoa e R$ 2,5 bi sob gestão/acompanhamento. Nathalia atua como Daily Banker, apoiando atendimento, operacional, senhas, cartão, informes, resgates/aplicações e suporte ao cliente.</x:v>
      </x:c>
      <x:c r="C3" s="63"/>
      <x:c r="D3" s="63"/>
    </x:row>
    <x:row r="4">
      <x:c r="A4" s="102" t="str">
        <x:v>Modelo operacional</x:v>
      </x:c>
      <x:c r="B4" s="63" t="str">
        <x:v>Consultores têm papel mais consultivo/relacionamento; alocadores fazem aplicações e resgates; Daily Banker apoia atendimento e operação; consolidação usa APIs/Com Dinheiro; financeiro atua na cobrança mensal.</x:v>
      </x:c>
      <x:c r="C4" s="63"/>
      <x:c r="D4" s="63"/>
    </x:row>
    <x:row r="5">
      <x:c r="A5" s="102" t="str">
        <x:v>Tese central da jornada</x:v>
      </x:c>
      <x:c r="B5" s="63" t="str">
        <x:v>A jornada não quebra por lentidão na aplicação. A maior dor está na falta de visibilidade e autonomia para operar proativamente: origem do saldo, dados completos, status, documentos, credenciais, banking, PJ e internacional.</x:v>
      </x:c>
      <x:c r="C5" s="63"/>
      <x:c r="D5" s="63"/>
    </x:row>
    <x:row r="6">
      <x:c r="A6" s="102" t="str">
        <x:v>Jornada mais crítica</x:v>
      </x:c>
      <x:c r="B6" s="63" t="str">
        <x:v>Consulta de caixa/carteira + status operacional. Essa jornada sustenta a capacidade de a Åpen estar à frente do cliente e decidir o que aplicar sem depender de perguntas, planilhas ou suporte externo.</x:v>
      </x:c>
      <x:c r="C6" s="63"/>
      <x:c r="D6" s="63"/>
    </x:row>
    <x:row r="7">
      <x:c r="A7" s="102" t="str">
        <x:v>Forças do Inter atual</x:v>
      </x:c>
      <x:c r="B7" s="63" t="str">
        <x:v>Ativação rápida da conta; aprovação simples; carrinho de primeira movimentação elogiado; filtros de produtos percebidos como bons; cartão Inter é bem avaliado.</x:v>
      </x:c>
      <x:c r="C7" s="63"/>
      <x:c r="D7" s="63"/>
    </x:row>
    <x:row r="8">
      <x:c r="A8" s="102" t="str">
        <x:v>Principais lacunas</x:v>
      </x:c>
      <x:c r="B8" s="63" t="str">
        <x:v>Busca por número da conta; falta origem de saldo; falta data de aplicação; pouca autonomia para senha/bloqueio/informes/cartão; ausência de suporte contextual; PJ manual; internacional apenas consultivo; falta dashboard gerencial.</x:v>
      </x:c>
      <x:c r="C8" s="63"/>
      <x:c r="D8" s="63"/>
    </x:row>
    <x:row r="9">
      <x:c r="A9" s="102" t="str">
        <x:v>Referências externas</x:v>
      </x:c>
      <x:c r="B9" s="63" t="str">
        <x:v>XP: dados completos, informes, credenciais, data de aplicação, recomendação em lote. BTG: banking/cartão, chat por tema, PJ, transferência entre clientes, notificações. Avenue: dashboard e insights acionáveis.</x:v>
      </x:c>
      <x:c r="C9" s="63"/>
      <x:c r="D9" s="63"/>
    </x:row>
    <x:row r="10">
      <x:c r="A10" s="102" t="str">
        <x:v>Recomendação MVP</x:v>
      </x:c>
      <x:c r="B10" s="63" t="str">
        <x:v>Priorizar um recorte que una: busca/status do cliente, caixa investível, carteira/posição com data de aplicação, eventos de movimentação, autonomia operacional básica e indicadores gerenciais mínimos.</x:v>
      </x:c>
      <x:c r="C10" s="63"/>
      <x:c r="D10" s="63"/>
    </x:row>
    <x:row r="11">
      <x:c r="A11" s="102" t="str">
        <x:v>Evidência-chave 1</x:v>
      </x:c>
      <x:c r="B11" s="63" t="str">
        <x:v>“Quanto mais dados o pessoal de consolidação tiver, melhor.”</x:v>
      </x:c>
      <x:c r="C11" s="63"/>
      <x:c r="D11" s="63"/>
    </x:row>
    <x:row r="12">
      <x:c r="A12" s="102" t="str">
        <x:v>Evidência-chave 2</x:v>
      </x:c>
      <x:c r="B12" s="63" t="str">
        <x:v>“Se a gente não tiver essas informações aqui, de onde veio esse valor, a gente não vai saber se é para aplicar ou não.”</x:v>
      </x:c>
      <x:c r="C12" s="63"/>
      <x:c r="D12" s="63"/>
    </x:row>
    <x:row r="13">
      <x:c r="A13" s="102" t="str">
        <x:v>Evidência-chave 3</x:v>
      </x:c>
      <x:c r="B13" s="63" t="str">
        <x:v>“Quanto mais autonomia a gente tiver… zerar senha, bloquear uma conta… facilita o dia a dia.”</x:v>
      </x:c>
      <x:c r="C13" s="63"/>
      <x:c r="D13" s="63"/>
    </x:row>
    <x:row r="14">
      <x:c r="A14" s="102" t="str">
        <x:v>Evidência-chave 4</x:v>
      </x:c>
      <x:c r="B14" s="63" t="str">
        <x:v>“Não sei o valor exato que eu tenho consolidado aqui com vocês.”</x:v>
      </x:c>
      <x:c r="C14" s="63"/>
      <x:c r="D14" s="63"/>
    </x:row>
    <x:row r="15">
      <x:c r="A15" s="102" t="str">
        <x:v>Próximo passo sugerido</x:v>
      </x:c>
      <x:c r="B15" s="63" t="str">
        <x:v>Usar as abas 02 e 03 para desenhar o Journey Map AS-IS, destacando momentos de verdade: ativação, caixa, posição, recomendação, aprovação, suporte, serviços operacionais, PJ e internacional.</x:v>
      </x:c>
      <x:c r="C15" s="63"/>
      <x:c r="D15" s="63"/>
    </x:row>
  </x:sheetData>
  <x:mergeCells>
    <x:mergeCell ref="A1:D1"/>
  </x:mergeCells>
  <x:pageMargins left="0.7" right="0.7" top="0.75" bottom="0.75" header="0.3" footer="0.3"/>
</x:worksheet>
</file>